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bd91060a4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51cce28646047a3"/>
    <x:sheet xmlns:r="http://schemas.openxmlformats.org/officeDocument/2006/relationships" name="Setup" sheetId="2" r:id="Rcfd3ad6452814783"/>
    <x:sheet xmlns:r="http://schemas.openxmlformats.org/officeDocument/2006/relationships" name="Stack" sheetId="3" r:id="R7dec14a5a3964e0e"/>
    <x:sheet xmlns:r="http://schemas.openxmlformats.org/officeDocument/2006/relationships" name="Locator" sheetId="4" r:id="Rc40a8e9d07124b42"/>
    <x:sheet xmlns:r="http://schemas.openxmlformats.org/officeDocument/2006/relationships" name="Sensitivity" sheetId="5" r:id="Rb17281f4ba8b49d9"/>
    <x:sheet xmlns:r="http://schemas.openxmlformats.org/officeDocument/2006/relationships" name="Instructions" sheetId="6" r:id="Rdaa00da09f0d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00"/>
    <x:numFmt numFmtId="202" formatCode="0.000000"/>
    <x:numFmt numFmtId="203" formatCode="0.0%"/>
    <x:numFmt numFmtId="204" formatCode="0"/>
    <x:numFmt numFmtId="205" formatCode="0.0"/>
  </x:numFmts>
  <x:fonts count="6">
    <x:font>
      <x:sz val="11"/>
      <x:name val="Carlito"/>
    </x:font>
    <x:font>
      <x:sz val="10"/>
      <x:color rgb="FF203047"/>
      <x:name val="Arial"/>
    </x:font>
    <x:font>
      <x:b/>
      <x:sz val="16"/>
      <x:color rgb="FF25466B"/>
      <x:name val="Arial"/>
    </x:font>
    <x:font>
      <x:sz val="10"/>
      <x:color rgb="FF617184"/>
      <x:name val="Arial"/>
    </x:font>
    <x:font>
      <x:b/>
      <x:sz val="10"/>
      <x:color rgb="FFFFFFFF"/>
      <x:name val="Arial"/>
    </x:font>
    <x:font>
      <x:sz val="10"/>
      <x:color rgb="FF3266A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466B"/>
      </x:patternFill>
    </x:fill>
    <x:fill>
      <x:patternFill patternType="solid">
        <x:fgColor rgb="FFFFF1CB"/>
      </x:patternFill>
    </x:fill>
    <x:fill>
      <x:patternFill patternType="solid">
        <x:fgColor rgb="FFEEF3F8"/>
      </x:patternFill>
    </x:fill>
    <x:fill>
      <x:patternFill patternType="solid">
        <x:fgColor rgb="FFF3F6F9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A52626"/>
      </x:font>
      <x:fill>
        <x:patternFill patternType="solid">
          <x:bgColor rgb="FFFCE4E4"/>
        </x:patternFill>
      </x:fill>
    </x:dxf>
    <x:dxf>
      <x:font>
        <x:b/>
        <x:color rgb="FFA52626"/>
      </x:font>
      <x:fill>
        <x:patternFill patternType="solid">
          <x:bgColor rgb="FFFCE4E4"/>
        </x:patternFill>
      </x:fill>
    </x:dxf>
    <x:dxf>
      <x:font>
        <x:b/>
        <x:color rgb="FFA52626"/>
      </x:font>
      <x:fill>
        <x:patternFill patternType="solid">
          <x:bgColor rgb="FFFCE4E4"/>
        </x:patternFill>
      </x:fill>
    </x:dxf>
    <x:dxf>
      <x:font>
        <x:b/>
        <x:color rgb="FFA52626"/>
      </x:font>
      <x:fill>
        <x:patternFill patternType="solid">
          <x:bgColor rgb="FFFCE4E4"/>
        </x:patternFill>
      </x:fill>
    </x:dxf>
    <x:dxf>
      <x:font>
        <x:b/>
        <x:color rgb="FFA52626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7b7ae4dac478a" /><Relationship Type="http://schemas.openxmlformats.org/officeDocument/2006/relationships/theme" Target="/xl/theme/theme1.xml" Id="Ra799c5eec14b46f3" /><Relationship Type="http://schemas.openxmlformats.org/officeDocument/2006/relationships/sharedStrings" Target="/xl/sharedStrings.xml" Id="Rbbd36738ec654775" /><Relationship Type="http://schemas.openxmlformats.org/officeDocument/2006/relationships/worksheet" Target="/xl/worksheets/sheet1.xml" Id="R251cce28646047a3" /><Relationship Type="http://schemas.openxmlformats.org/officeDocument/2006/relationships/worksheet" Target="/xl/worksheets/sheet2.xml" Id="Rcfd3ad6452814783" /><Relationship Type="http://schemas.openxmlformats.org/officeDocument/2006/relationships/worksheet" Target="/xl/worksheets/sheet3.xml" Id="R7dec14a5a3964e0e" /><Relationship Type="http://schemas.openxmlformats.org/officeDocument/2006/relationships/worksheet" Target="/xl/worksheets/sheet4.xml" Id="Rc40a8e9d07124b42" /><Relationship Type="http://schemas.openxmlformats.org/officeDocument/2006/relationships/worksheet" Target="/xl/worksheets/sheet5.xml" Id="Rb17281f4ba8b49d9" /><Relationship Type="http://schemas.openxmlformats.org/officeDocument/2006/relationships/worksheet" Target="/xl/worksheets/sheet6.xml" Id="Rdaa00da09f0d4c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e4c1f6876b4e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Top source variance shares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Variance share</c:v>
          </c:tx>
          <c:spPr>
            <a:solidFill xmlns:a="http://schemas.openxmlformats.org/drawingml/2006/main">
              <a:srgbClr val="3266A0"/>
            </a:solidFill>
          </c:spPr>
          <c:cat>
            <c:strRef>
              <c:f>'Results'!$B$33:$B$42</c:f>
              <c:strCache>
                <c:ptCount val="0"/>
              </c:strCache>
            </c:strRef>
          </c:cat>
          <c:val>
            <c:numRef>
              <c:f>'Results'!$D$33:$D$42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31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e4c1f6876b4e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698b6c72394186" /></Relationships>
</file>

<file path=xl/worksheets/sheet1.xml><?xml version="1.0" encoding="utf-8"?>
<x:worksheet xmlns:x="http://schemas.openxmlformats.org/spreadsheetml/2006/main">
  <x:sheetPr>
    <x:tabColor rgb="FF25466B"/>
  </x:sheetPr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31" hidden="0" customWidth="1"/>
    <x:col min="4" max="4" width="1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RSS stack results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6" customHeight="1">
      <x:c r="A4" s="6" t="str">
        <x:v>Start with Instructions, then Setup. Results update from Stack, Locator and Sensitivity. The supplied case is illustrative; it is not production evidence.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Study</x:v>
      </x:c>
      <x:c r="B6" s="2"/>
      <x:c r="C6" s="2" t="str">
        <x:f>'Setup'!D6</x:f>
        <x:v>Sensor–fascia gap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Output unit</x:v>
      </x:c>
      <x:c r="B7" s="2"/>
      <x:c r="C7" s="2" t="str">
        <x:f>'Setup'!D7</x:f>
        <x:v>mm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 t="str">
        <x:v>Input status</x:v>
      </x:c>
      <x:c r="B8" s="2"/>
      <x:c r="C8" s="2" t="str">
        <x:f>IF(OR(COUNT('Setup'!D8:D11)&lt;&gt;4,'Setup'!D10&lt;='Setup'!D9,'Setup'!D11&lt;=0,'Setup'!D7="",AND('Setup'!D12&lt;&gt;"Normal",'Setup'!D12&lt;&gt;"Unspecified")),"Review Setup",IF('Stack'!B74&gt;0,"Review Stack inputs",IF('Stack'!B75=0,"No active sources","OK")))</x:f>
        <x:v>OK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42" customHeight="1">
      <x:c r="A10" s="10" t="str">
        <x:v>Statistic</x:v>
      </x:c>
      <x:c r="B10" s="10" t="str"/>
      <x:c r="C10" s="10" t="str">
        <x:v>Value</x:v>
      </x:c>
      <x:c r="D10" s="10" t="str">
        <x:v>Unit / interpretation</x:v>
      </x:c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 t="str">
        <x:v>Predicted mean</x:v>
      </x:c>
      <x:c r="B11" s="2"/>
      <x:c r="C11" s="17" t="n">
        <x:f>IF($C$8&lt;&gt;"OK","",'Setup'!D8+'Stack'!B70)</x:f>
        <x:v>2.98</x:v>
      </x:c>
      <x:c r="D11" s="2" t="str">
        <x:f>'Setup'!D7</x:f>
        <x:v>mm</x:v>
      </x:c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 t="str">
        <x:v>RSS standard deviation</x:v>
      </x:c>
      <x:c r="B12" s="2"/>
      <x:c r="C12" s="17" t="n">
        <x:f>IF($C$8&lt;&gt;"OK","",'Stack'!B73)</x:f>
        <x:v>0.269522007418417</x:v>
      </x:c>
      <x:c r="D12" s="2" t="str">
        <x:f>'Setup'!D7</x:f>
        <x:v>mm</x:v>
      </x:c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 t="str">
        <x:v>k-sigma half-width</x:v>
      </x:c>
      <x:c r="B13" s="2"/>
      <x:c r="C13" s="17" t="n">
        <x:f>IF($C$8&lt;&gt;"OK","",'Setup'!D11*C12)</x:f>
        <x:v>0.8085660222552509</x:v>
      </x:c>
      <x:c r="D13" s="2" t="str">
        <x:f>'Setup'!D7</x:f>
        <x:v>mm</x:v>
      </x:c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 t="str">
        <x:v>Lower statistical limit</x:v>
      </x:c>
      <x:c r="B14" s="2"/>
      <x:c r="C14" s="17" t="n">
        <x:f>IF($C$8&lt;&gt;"OK","",C11-C13)</x:f>
        <x:v>2.171433977744749</x:v>
      </x:c>
      <x:c r="D14" s="2" t="str">
        <x:f>'Setup'!D7</x:f>
        <x:v>mm</x:v>
      </x:c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 t="str">
        <x:v>Upper statistical limit</x:v>
      </x:c>
      <x:c r="B15" s="2"/>
      <x:c r="C15" s="17" t="n">
        <x:f>IF($C$8&lt;&gt;"OK","",C11+C13)</x:f>
        <x:v>3.788566022255251</x:v>
      </x:c>
      <x:c r="D15" s="2" t="str">
        <x:f>'Setup'!D7</x:f>
        <x:v>mm</x:v>
      </x:c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 t="str">
        <x:v>Full 6-sigma width</x:v>
      </x:c>
      <x:c r="B16" s="2"/>
      <x:c r="C16" s="17" t="n">
        <x:f>IF($C$8&lt;&gt;"OK","",6*C12)</x:f>
        <x:v>1.6171320445105017</x:v>
      </x:c>
      <x:c r="D16" s="2" t="str">
        <x:f>'Setup'!D7</x:f>
        <x:v>mm</x:v>
      </x:c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 t="str">
        <x:v>Lower specification</x:v>
      </x:c>
      <x:c r="B17" s="2"/>
      <x:c r="C17" s="17" t="n">
        <x:f>'Setup'!D9</x:f>
        <x:v>2.2</x:v>
      </x:c>
      <x:c r="D17" s="2" t="str">
        <x:f>'Setup'!D7</x:f>
        <x:v>mm</x:v>
      </x:c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 t="str">
        <x:v>Upper specification</x:v>
      </x:c>
      <x:c r="B18" s="2"/>
      <x:c r="C18" s="17" t="n">
        <x:f>'Setup'!D10</x:f>
        <x:v>3.8</x:v>
      </x:c>
      <x:c r="D18" s="2" t="str">
        <x:f>'Setup'!D7</x:f>
        <x:v>mm</x:v>
      </x:c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 t="str">
        <x:v>Statistical comparison</x:v>
      </x:c>
      <x:c r="B19" s="2"/>
      <x:c r="C19" s="24" t="str">
        <x:f>IF($C$8&lt;&gt;"OK","Review inputs",IF(AND(C14&gt;=C17,C15&lt;=C18),"Within k-sigma limits","Outside k-sigma limits"))</x:f>
        <x:v>Outside k-sigma limits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4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 t="str">
        <x:v>Linear box lower bound</x:v>
      </x:c>
      <x:c r="B21" s="2"/>
      <x:c r="C21" s="24" t="n">
        <x:f>IF($C$8&lt;&gt;"OK","",'Setup'!D8+'Stack'!B71)</x:f>
        <x:v>0.775192080781022</x:v>
      </x:c>
      <x:c r="D21" s="2" t="str">
        <x:f>'Setup'!D7</x:f>
        <x:v>mm</x:v>
      </x:c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 t="str">
        <x:v>Linear box upper bound</x:v>
      </x:c>
      <x:c r="B22" s="2"/>
      <x:c r="C22" s="24" t="n">
        <x:f>IF($C$8&lt;&gt;"OK","",'Setup'!D8+'Stack'!B72)</x:f>
        <x:v>5.2248079192189785</x:v>
      </x:c>
      <x:c r="D22" s="2" t="str">
        <x:f>'Setup'!D7</x:f>
        <x:v>mm</x:v>
      </x:c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4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 t="str">
        <x:v>Cp (normal assumption)</x:v>
      </x:c>
      <x:c r="B24" s="2"/>
      <x:c r="C24" s="24" t="n">
        <x:f>IF(OR($C$8&lt;&gt;"OK",'Setup'!D12&lt;&gt;"Normal",C12=0),"",(C18-C17)/(6*C12))</x:f>
        <x:v>0.9894059087081613</x:v>
      </x:c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 t="str">
        <x:v>Cpk (normal assumption)</x:v>
      </x:c>
      <x:c r="B25" s="2"/>
      <x:c r="C25" s="24" t="n">
        <x:f>IF(OR($C$8&lt;&gt;"OK",'Setup'!D12&lt;&gt;"Normal",C12=0),"",MIN(C18-C11,C11-C17)/(3*C12))</x:f>
        <x:v>0.9646707609904572</x:v>
      </x:c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 t="str">
        <x:v>Theoretical out-of-spec ppm</x:v>
      </x:c>
      <x:c r="B26" s="2"/>
      <x:c r="C26" s="25" t="n">
        <x:f>IF(OR($C$8&lt;&gt;"OK",'Setup'!D12&lt;&gt;"Normal",C12=0),"",(NORM.DIST(C17,C11,C12,TRUE)+1-NORM.DIST(C18,C11,C12,TRUE))*1000000)</x:f>
        <x:v>3075.1750074006213</x:v>
      </x:c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40" customHeight="1">
      <x:c r="A29" s="6" t="str">
        <x:v>Cp/Cpk and theoretical ppm assume a stable normal output. They are predictions from the input assumptions, not measured process capability. Zero σ leaves capability and ppm blank.</x:v>
      </x:c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42" customHeight="1">
      <x:c r="A32" s="10" t="str">
        <x:v>Rank</x:v>
      </x:c>
      <x:c r="B32" s="10" t="str">
        <x:v>Source ID</x:v>
      </x:c>
      <x:c r="C32" s="10" t="str">
        <x:v>Source description</x:v>
      </x:c>
      <x:c r="D32" s="10" t="str">
        <x:v>Variance share</x:v>
      </x:c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 t="n">
        <x:v>1</x:v>
      </x:c>
      <x:c r="B33" s="2" t="str">
        <x:f>IF(OR($C$8&lt;&gt;"OK",A33&gt;'Stack'!$B$75),"",INDEX('Stack'!$A$6:$A$65,MATCH(A33,'Stack'!$T$6:$T$65,0)))</x:f>
        <x:v>SRC008</x:v>
      </x:c>
      <x:c r="C33" s="2" t="str">
        <x:f>IF(B33="","",INDEX('Stack'!$C$6:$C$65,MATCH(B33,'Stack'!$A$6:$A$65,0)))</x:f>
        <x:v>Fascia local gap feature</x:v>
      </x:c>
      <x:c r="D33" s="26" t="n">
        <x:f>IF(B33="","",INDEX('Stack'!$S$6:$S$65,MATCH(B33,'Stack'!$A$6:$A$65,0)))</x:f>
        <x:v>0.41298358451623135</x:v>
      </x:c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 t="n">
        <x:v>2</x:v>
      </x:c>
      <x:c r="B34" s="2" t="str">
        <x:f>IF(OR($C$8&lt;&gt;"OK",A34&gt;'Stack'!$B$75),"",INDEX('Stack'!$A$6:$A$65,MATCH(A34,'Stack'!$T$6:$T$65,0)))</x:f>
        <x:v>SRC007</x:v>
      </x:c>
      <x:c r="C34" s="2" t="str">
        <x:f>IF(B34="","",INDEX('Stack'!$C$6:$C$65,MATCH(B34,'Stack'!$A$6:$A$65,0)))</x:f>
        <x:v>Fascia clip location</x:v>
      </x:c>
      <x:c r="D34" s="26" t="n">
        <x:f>IF(B34="","",INDEX('Stack'!$S$6:$S$65,MATCH(B34,'Stack'!$A$6:$A$65,0)))</x:f>
        <x:v>0.19823212056779105</x:v>
      </x:c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 t="n">
        <x:v>3</x:v>
      </x:c>
      <x:c r="B35" s="2" t="str">
        <x:f>IF(OR($C$8&lt;&gt;"OK",A35&gt;'Stack'!$B$75),"",INDEX('Stack'!$A$6:$A$65,MATCH(A35,'Stack'!$T$6:$T$65,0)))</x:f>
        <x:v>SRC002</x:v>
      </x:c>
      <x:c r="C35" s="2" t="str">
        <x:f>IF(B35="","",INDEX('Stack'!$C$6:$C$65,MATCH(B35,'Stack'!$A$6:$A$65,0)))</x:f>
        <x:v>A2 effective support height</x:v>
      </x:c>
      <x:c r="D35" s="26" t="n">
        <x:f>IF(B35="","",INDEX('Stack'!$S$6:$S$65,MATCH(B35,'Stack'!$A$6:$A$65,0)))</x:f>
        <x:v>0.09668385700608613</x:v>
      </x:c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 t="n">
        <x:v>4</x:v>
      </x:c>
      <x:c r="B36" s="2" t="str">
        <x:f>IF(OR($C$8&lt;&gt;"OK",A36&gt;'Stack'!$B$75),"",INDEX('Stack'!$A$6:$A$65,MATCH(A36,'Stack'!$T$6:$T$65,0)))</x:f>
        <x:v>SRC001</x:v>
      </x:c>
      <x:c r="C36" s="2" t="str">
        <x:f>IF(B36="","",INDEX('Stack'!$C$6:$C$65,MATCH(B36,'Stack'!$A$6:$A$65,0)))</x:f>
        <x:v>A1 effective support height</x:v>
      </x:c>
      <x:c r="D36" s="26" t="n">
        <x:f>IF(B36="","",INDEX('Stack'!$S$6:$S$65,MATCH(B36,'Stack'!$A$6:$A$65,0)))</x:f>
        <x:v>0.07940539427941253</x:v>
      </x:c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 t="n">
        <x:v>5</x:v>
      </x:c>
      <x:c r="B37" s="2" t="str">
        <x:f>IF(OR($C$8&lt;&gt;"OK",A37&gt;'Stack'!$B$75),"",INDEX('Stack'!$A$6:$A$65,MATCH(A37,'Stack'!$T$6:$T$65,0)))</x:f>
        <x:v>SRC003</x:v>
      </x:c>
      <x:c r="C37" s="2" t="str">
        <x:f>IF(B37="","",INDEX('Stack'!$C$6:$C$65,MATCH(B37,'Stack'!$A$6:$A$65,0)))</x:f>
        <x:v>A3 effective support height</x:v>
      </x:c>
      <x:c r="D37" s="26" t="n">
        <x:f>IF(B37="","",INDEX('Stack'!$S$6:$S$65,MATCH(B37,'Stack'!$A$6:$A$65,0)))</x:f>
        <x:v>0.05438466956592347</x:v>
      </x:c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 t="n">
        <x:v>6</x:v>
      </x:c>
      <x:c r="B38" s="2" t="str">
        <x:f>IF(OR($C$8&lt;&gt;"OK",A38&gt;'Stack'!$B$75),"",INDEX('Stack'!$A$6:$A$65,MATCH(A38,'Stack'!$T$6:$T$65,0)))</x:f>
        <x:v>SRC013</x:v>
      </x:c>
      <x:c r="C38" s="2" t="str">
        <x:f>IF(B38="","",INDEX('Stack'!$C$6:$C$65,MATCH(B38,'Stack'!$A$6:$A$65,0)))</x:f>
        <x:v>Other assembly source</x:v>
      </x:c>
      <x:c r="D38" s="26" t="n">
        <x:f>IF(B38="","",INDEX('Stack'!$S$6:$S$65,MATCH(B38,'Stack'!$A$6:$A$65,0)))</x:f>
        <x:v>0.04955803014194784</x:v>
      </x:c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 t="n">
        <x:v>7</x:v>
      </x:c>
      <x:c r="B39" s="2" t="str">
        <x:f>IF(OR($C$8&lt;&gt;"OK",A39&gt;'Stack'!$B$75),"",INDEX('Stack'!$A$6:$A$65,MATCH(A39,'Stack'!$T$6:$T$65,0)))</x:f>
        <x:v>SRC004</x:v>
      </x:c>
      <x:c r="C39" s="2" t="str">
        <x:f>IF(B39="","",INDEX('Stack'!$C$6:$C$65,MATCH(B39,'Stack'!$A$6:$A$65,0)))</x:f>
        <x:v>Round locator X error</x:v>
      </x:c>
      <x:c r="D39" s="26" t="n">
        <x:f>IF(B39="","",INDEX('Stack'!$S$6:$S$65,MATCH(B39,'Stack'!$A$6:$A$65,0)))</x:f>
        <x:v>0.024779015070973884</x:v>
      </x:c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 t="n">
        <x:v>8</x:v>
      </x:c>
      <x:c r="B40" s="2" t="str">
        <x:f>IF(OR($C$8&lt;&gt;"OK",A40&gt;'Stack'!$B$75),"",INDEX('Stack'!$A$6:$A$65,MATCH(A40,'Stack'!$T$6:$T$65,0)))</x:f>
        <x:v>SRC009</x:v>
      </x:c>
      <x:c r="C40" s="2" t="str">
        <x:f>IF(B40="","",INDEX('Stack'!$C$6:$C$65,MATCH(B40,'Stack'!$A$6:$A$65,0)))</x:f>
        <x:v>Sensor functional offset</x:v>
      </x:c>
      <x:c r="D40" s="26" t="n">
        <x:f>IF(B40="","",INDEX('Stack'!$S$6:$S$65,MATCH(B40,'Stack'!$A$6:$A$65,0)))</x:f>
        <x:v>0.02202579117419901</x:v>
      </x:c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 t="n">
        <x:v>9</x:v>
      </x:c>
      <x:c r="B41" s="2" t="str">
        <x:f>IF(OR($C$8&lt;&gt;"OK",A41&gt;'Stack'!$B$75),"",INDEX('Stack'!$A$6:$A$65,MATCH(A41,'Stack'!$T$6:$T$65,0)))</x:f>
        <x:v>SRC011</x:v>
      </x:c>
      <x:c r="C41" s="2" t="str">
        <x:f>IF(B41="","",INDEX('Stack'!$C$6:$C$65,MATCH(B41,'Stack'!$A$6:$A$65,0)))</x:f>
        <x:v>Captured fixture deviation</x:v>
      </x:c>
      <x:c r="D41" s="26" t="n">
        <x:f>IF(B41="","",INDEX('Stack'!$S$6:$S$65,MATCH(B41,'Stack'!$A$6:$A$65,0)))</x:f>
        <x:v>0.02202579117419901</x:v>
      </x:c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 t="n">
        <x:v>10</x:v>
      </x:c>
      <x:c r="B42" s="2" t="str">
        <x:f>IF(OR($C$8&lt;&gt;"OK",A42&gt;'Stack'!$B$75),"",INDEX('Stack'!$A$6:$A$65,MATCH(A42,'Stack'!$T$6:$T$65,0)))</x:f>
        <x:v>SRC012</x:v>
      </x:c>
      <x:c r="C42" s="2" t="str">
        <x:f>IF(B42="","",INDEX('Stack'!$C$6:$C$65,MATCH(B42,'Stack'!$A$6:$A$65,0)))</x:f>
        <x:v>Independent angular mode</x:v>
      </x:c>
      <x:c r="D42" s="26" t="n">
        <x:f>IF(B42="","",INDEX('Stack'!$S$6:$S$65,MATCH(B42,'Stack'!$A$6:$A$65,0)))</x:f>
        <x:v>0.012389507535486937</x:v>
      </x:c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40" customHeight="1">
      <x:c r="A48" s="6" t="str">
        <x:v>For any source shared by both branches, use c = c_fascia - c_sensor in one row. SRC010 demonstrates 0.8 - 0.7 = 0.1. Separate branch RSS values would lose this cancellation.</x:v>
      </x:c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4:L4"/>
    <x:mergeCell ref="A29:L29"/>
    <x:mergeCell ref="A48:L48"/>
  </x:mergeCells>
  <x:conditionalFormatting sqref="C8:C8">
    <x:cfRule type="expression" dxfId="3" priority="1">
      <x:formula>C8&lt;&gt;"OK"</x:formula>
    </x:cfRule>
  </x:conditionalFormatting>
  <x:conditionalFormatting sqref="C19:C19">
    <x:cfRule type="expression" dxfId="4" priority="2">
      <x:formula>C19="Outside k-sigma limits"</x:formula>
    </x:cfRule>
  </x:conditionalFormatting>
  <x:pageMargins left="0.7" right="0.7" top="0.75" bottom="0.75" header="0.3" footer="0.3"/>
  <x:drawing xmlns:r="http://schemas.openxmlformats.org/officeDocument/2006/relationships" r:id="R1f698b6c72394186"/>
</x:worksheet>
</file>

<file path=xl/worksheets/sheet2.xml><?xml version="1.0" encoding="utf-8"?>
<x:worksheet xmlns:x="http://schemas.openxmlformats.org/spreadsheetml/2006/main">
  <x:sheetPr>
    <x:tabColor rgb="FF3266A0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Study setup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6" customHeight="1">
      <x:c r="A4" s="6" t="str">
        <x:v>Amber cells are editable. The supplied values describe a learning case; replace them with your drawing, assembly and process data.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42" customHeight="1">
      <x:c r="A5" s="10" t="str">
        <x:v>Setting</x:v>
      </x:c>
      <x:c r="B5" s="10" t="str"/>
      <x:c r="C5" s="10" t="str"/>
      <x:c r="D5" s="10" t="str">
        <x:v>Value</x:v>
      </x:c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2" t="str">
        <x:v>Study name</x:v>
      </x:c>
      <x:c r="B6" s="2"/>
      <x:c r="C6" s="2"/>
      <x:c r="D6" s="12" t="str">
        <x:v>Sensor–fascia gap</x:v>
      </x:c>
      <x:c r="E6" s="2"/>
      <x:c r="F6" s="2"/>
      <x:c r="G6" s="14" t="str">
        <x:v>Name one output. Duplicate the workbook for a different measurement.</x:v>
      </x:c>
      <x:c r="H6" s="14"/>
      <x:c r="I6" s="14"/>
      <x:c r="J6" s="14"/>
      <x:c r="K6" s="14"/>
      <x:c r="L6" s="14"/>
    </x:row>
    <x:row r="7" ht="38" customHeight="1">
      <x:c r="A7" s="2" t="str">
        <x:v>Output unit</x:v>
      </x:c>
      <x:c r="B7" s="2"/>
      <x:c r="C7" s="2"/>
      <x:c r="D7" s="12" t="str">
        <x:v>mm</x:v>
      </x:c>
      <x:c r="E7" s="2"/>
      <x:c r="F7" s="2"/>
      <x:c r="G7" s="14" t="str">
        <x:v>Keep each coefficient in output units per input unit.</x:v>
      </x:c>
      <x:c r="H7" s="14"/>
      <x:c r="I7" s="14"/>
      <x:c r="J7" s="14"/>
      <x:c r="K7" s="14"/>
      <x:c r="L7" s="14"/>
    </x:row>
    <x:row r="8" ht="38" customHeight="1">
      <x:c r="A8" s="2" t="str">
        <x:v>Nominal output</x:v>
      </x:c>
      <x:c r="B8" s="2"/>
      <x:c r="C8" s="2"/>
      <x:c r="D8" s="13" t="n">
        <x:v>3</x:v>
      </x:c>
      <x:c r="E8" s="2"/>
      <x:c r="F8" s="2"/>
      <x:c r="G8" s="14" t="str">
        <x:v>Value at zero source deviation, not the process mean.</x:v>
      </x:c>
      <x:c r="H8" s="14"/>
      <x:c r="I8" s="14"/>
      <x:c r="J8" s="14"/>
      <x:c r="K8" s="14"/>
      <x:c r="L8" s="14"/>
    </x:row>
    <x:row r="9" ht="38" customHeight="1">
      <x:c r="A9" s="2" t="str">
        <x:v>Lower specification limit</x:v>
      </x:c>
      <x:c r="B9" s="2"/>
      <x:c r="C9" s="2"/>
      <x:c r="D9" s="13" t="n">
        <x:v>2.2</x:v>
      </x:c>
      <x:c r="E9" s="2"/>
      <x:c r="F9" s="2"/>
      <x:c r="G9" s="14" t="str">
        <x:v>Use drawing / functional requirement limits.</x:v>
      </x:c>
      <x:c r="H9" s="14"/>
      <x:c r="I9" s="14"/>
      <x:c r="J9" s="14"/>
      <x:c r="K9" s="14"/>
      <x:c r="L9" s="14"/>
    </x:row>
    <x:row r="10" ht="38" customHeight="1">
      <x:c r="A10" s="2" t="str">
        <x:v>Upper specification limit</x:v>
      </x:c>
      <x:c r="B10" s="2"/>
      <x:c r="C10" s="2"/>
      <x:c r="D10" s="13" t="n">
        <x:v>3.8</x:v>
      </x:c>
      <x:c r="E10" s="2"/>
      <x:c r="F10" s="2"/>
      <x:c r="G10" s="14" t="str">
        <x:v>Limits must use the same unit as the output.</x:v>
      </x:c>
      <x:c r="H10" s="14"/>
      <x:c r="I10" s="14"/>
      <x:c r="J10" s="14"/>
      <x:c r="K10" s="14"/>
      <x:c r="L10" s="14"/>
    </x:row>
    <x:row r="11" ht="38" customHeight="1">
      <x:c r="A11" s="2" t="str">
        <x:v>Output coverage factor k</x:v>
      </x:c>
      <x:c r="B11" s="2"/>
      <x:c r="C11" s="2"/>
      <x:c r="D11" s="13" t="n">
        <x:v>3</x:v>
      </x:c>
      <x:c r="E11" s="2"/>
      <x:c r="F11" s="2"/>
      <x:c r="G11" s="14" t="str">
        <x:v>3 means a ±3σ interval; its full width is 6σ.</x:v>
      </x:c>
      <x:c r="H11" s="14"/>
      <x:c r="I11" s="14"/>
      <x:c r="J11" s="14"/>
      <x:c r="K11" s="14"/>
      <x:c r="L11" s="14"/>
    </x:row>
    <x:row r="12" ht="38" customHeight="1">
      <x:c r="A12" s="2" t="str">
        <x:v>Output distribution assumption</x:v>
      </x:c>
      <x:c r="B12" s="2"/>
      <x:c r="C12" s="2"/>
      <x:c r="D12" s="12" t="str">
        <x:v>Normal</x:v>
      </x:c>
      <x:c r="E12" s="2"/>
      <x:c r="F12" s="2"/>
      <x:c r="G12" s="14" t="str">
        <x:v>Normal enables theoretical yield and Cp/Cpk. It is an assumption.</x:v>
      </x:c>
      <x:c r="H12" s="14"/>
      <x:c r="I12" s="14"/>
      <x:c r="J12" s="14"/>
      <x:c r="K12" s="14"/>
      <x:c r="L12" s="14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2" customHeight="1">
      <x:c r="A16" s="10" t="str">
        <x:v>Assembly definition</x:v>
      </x:c>
      <x:c r="B16" s="10" t="str"/>
      <x:c r="C16" s="10" t="str"/>
      <x:c r="D16" s="10" t="str">
        <x:v>Your entry</x:v>
      </x:c>
      <x:c r="E16" s="2"/>
      <x:c r="F16" s="2"/>
      <x:c r="G16" s="2"/>
      <x:c r="H16" s="2"/>
      <x:c r="I16" s="2"/>
      <x:c r="J16" s="2"/>
      <x:c r="K16" s="2"/>
      <x:c r="L16" s="2"/>
    </x:row>
    <x:row r="17" ht="38" customHeight="1">
      <x:c r="A17" s="2" t="str">
        <x:v>Reference frame</x:v>
      </x:c>
      <x:c r="B17" s="2"/>
      <x:c r="C17" s="2"/>
      <x:c r="D17" s="15" t="str">
        <x:v>Vehicle coordinates</x:v>
      </x:c>
      <x:c r="E17" s="2"/>
      <x:c r="F17" s="2"/>
      <x:c r="G17" s="2"/>
      <x:c r="H17" s="2"/>
      <x:c r="I17" s="2"/>
      <x:c r="J17" s="2"/>
      <x:c r="K17" s="2"/>
      <x:c r="L17" s="2"/>
    </x:row>
    <x:row r="18" ht="38" customHeight="1">
      <x:c r="A18" s="2" t="str">
        <x:v>Measurement direction</x:v>
      </x:c>
      <x:c r="B18" s="2"/>
      <x:c r="C18" s="2"/>
      <x:c r="D18" s="15" t="str">
        <x:v>Fixed direction: see Locator H6:H8</x:v>
      </x:c>
      <x:c r="E18" s="2"/>
      <x:c r="F18" s="2"/>
      <x:c r="G18" s="2"/>
      <x:c r="H18" s="2"/>
      <x:c r="I18" s="2"/>
      <x:c r="J18" s="2"/>
      <x:c r="K18" s="2"/>
      <x:c r="L18" s="2"/>
    </x:row>
    <x:row r="19" ht="38" customHeight="1">
      <x:c r="A19" s="2" t="str">
        <x:v>Assembly state</x:v>
      </x:c>
      <x:c r="B19" s="2"/>
      <x:c r="C19" s="2"/>
      <x:c r="D19" s="15" t="str">
        <x:v>Fastened and released</x:v>
      </x:c>
      <x:c r="E19" s="2"/>
      <x:c r="F19" s="2"/>
      <x:c r="G19" s="2"/>
      <x:c r="H19" s="2"/>
      <x:c r="I19" s="2"/>
      <x:c r="J19" s="2"/>
      <x:c r="K19" s="2"/>
      <x:c r="L19" s="2"/>
    </x:row>
    <x:row r="20" ht="38" customHeight="1">
      <x:c r="A20" s="2" t="str">
        <x:v>Locating / tightening sequence</x:v>
      </x:c>
      <x:c r="B20" s="2"/>
      <x:c r="C20" s="2"/>
      <x:c r="D20" s="15" t="str">
        <x:v>Document each stage below</x:v>
      </x:c>
      <x:c r="E20" s="2"/>
      <x:c r="F20" s="2"/>
      <x:c r="G20" s="2"/>
      <x:c r="H20" s="2"/>
      <x:c r="I20" s="2"/>
      <x:c r="J20" s="2"/>
      <x:c r="K20" s="2"/>
      <x:c r="L20" s="2"/>
    </x:row>
    <x:row r="21" ht="38" customHeight="1">
      <x:c r="A21" s="2" t="str">
        <x:v>Data revision / date</x:v>
      </x:c>
      <x:c r="B21" s="2"/>
      <x:c r="C21" s="2"/>
      <x:c r="D21" s="15" t="str">
        <x:v>Illustrative case; 2026-10-03</x:v>
      </x:c>
      <x:c r="E21" s="2"/>
      <x:c r="F21" s="2"/>
      <x:c r="G21" s="2"/>
      <x:c r="H21" s="2"/>
      <x:c r="I21" s="2"/>
      <x:c r="J21" s="2"/>
      <x:c r="K21" s="2"/>
      <x:c r="L21" s="2"/>
    </x:row>
    <x:row r="22" ht="38" customHeight="1">
      <x:c r="A22" s="2" t="str">
        <x:v>Process evidence</x:v>
      </x:c>
      <x:c r="B22" s="2"/>
      <x:c r="C22" s="2"/>
      <x:c r="D22" s="15" t="str">
        <x:v>Replace assumptions with production data</x:v>
      </x:c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42" customHeight="1">
      <x:c r="A26" s="10" t="str">
        <x:v>Step</x:v>
      </x:c>
      <x:c r="B26" s="10" t="str">
        <x:v>Component</x:v>
      </x:c>
      <x:c r="C26" s="10" t="str">
        <x:v>Parent / fixture</x:v>
      </x:c>
      <x:c r="D26" s="10" t="str">
        <x:v>Primary locator</x:v>
      </x:c>
      <x:c r="E26" s="10" t="str">
        <x:v>Secondary locator</x:v>
      </x:c>
      <x:c r="F26" s="10" t="str">
        <x:v>Tertiary locator</x:v>
      </x:c>
      <x:c r="G26" s="10" t="str">
        <x:v>Capture operation</x:v>
      </x:c>
      <x:c r="H26" s="10" t="str">
        <x:v>Release state</x:v>
      </x:c>
      <x:c r="I26" s="10" t="str">
        <x:v>Measurement feature</x:v>
      </x:c>
      <x:c r="J26" s="10" t="str">
        <x:v>Input sources</x:v>
      </x:c>
      <x:c r="K26" s="10" t="str">
        <x:v>Evidence</x:v>
      </x:c>
      <x:c r="L26" s="10" t="str">
        <x:v>Notes</x:v>
      </x:c>
    </x:row>
    <x:row r="27" ht="65" customHeight="1">
      <x:c r="A27" s="15" t="n">
        <x:v>1</x:v>
      </x:c>
      <x:c r="B27" s="15" t="str">
        <x:v>Bracket</x:v>
      </x:c>
      <x:c r="C27" s="15" t="str">
        <x:v>Body / fixture</x:v>
      </x:c>
      <x:c r="D27" s="15" t="str">
        <x:v>3 pads normal Z</x:v>
      </x:c>
      <x:c r="E27" s="15" t="str">
        <x:v>Round pin X/Y</x:v>
      </x:c>
      <x:c r="F27" s="15" t="str">
        <x:v>Slot transverse Y</x:v>
      </x:c>
      <x:c r="G27" s="15" t="str">
        <x:v>Fastener tightening</x:v>
      </x:c>
      <x:c r="H27" s="15" t="str">
        <x:v>Rigid captured pose</x:v>
      </x:c>
      <x:c r="I27" s="15" t="str">
        <x:v>Sensor locator features</x:v>
      </x:c>
      <x:c r="J27" s="15" t="str">
        <x:v>SRC001–006, SRC011</x:v>
      </x:c>
      <x:c r="K27" s="15" t="str">
        <x:v>Assumed for learning</x:v>
      </x:c>
      <x:c r="L27" s="15" t="str">
        <x:v>Fixture variation must follow actual sequence</x:v>
      </x:c>
    </x:row>
    <x:row r="28" ht="65" customHeight="1">
      <x:c r="A28" s="15" t="n">
        <x:v>2</x:v>
      </x:c>
      <x:c r="B28" s="15" t="str">
        <x:v>Sensor</x:v>
      </x:c>
      <x:c r="C28" s="15" t="str">
        <x:v>Bracket</x:v>
      </x:c>
      <x:c r="D28" s="15" t="str">
        <x:v>Seating surface</x:v>
      </x:c>
      <x:c r="E28" s="15" t="str">
        <x:v>Mounting features</x:v>
      </x:c>
      <x:c r="F28" s="15" t="str">
        <x:v>As designed</x:v>
      </x:c>
      <x:c r="G28" s="15" t="str">
        <x:v>Sensor tightening</x:v>
      </x:c>
      <x:c r="H28" s="15" t="str">
        <x:v>Installed</x:v>
      </x:c>
      <x:c r="I28" s="15" t="str">
        <x:v>Sensor functional point</x:v>
      </x:c>
      <x:c r="J28" s="15" t="str">
        <x:v>SRC009</x:v>
      </x:c>
      <x:c r="K28" s="15" t="str">
        <x:v>Assumed for learning</x:v>
      </x:c>
      <x:c r="L28" s="15" t="str">
        <x:v>No flexible deformation modeled</x:v>
      </x:c>
    </x:row>
    <x:row r="29" ht="65" customHeight="1">
      <x:c r="A29" s="15" t="n">
        <x:v>3</x:v>
      </x:c>
      <x:c r="B29" s="15" t="str">
        <x:v>Fascia</x:v>
      </x:c>
      <x:c r="C29" s="15" t="str">
        <x:v>Body</x:v>
      </x:c>
      <x:c r="D29" s="15" t="str">
        <x:v>Retaining / seating points</x:v>
      </x:c>
      <x:c r="E29" s="15" t="str">
        <x:v>Locating clips</x:v>
      </x:c>
      <x:c r="F29" s="15" t="str">
        <x:v>As designed</x:v>
      </x:c>
      <x:c r="G29" s="15" t="str">
        <x:v>Clip / screw installation</x:v>
      </x:c>
      <x:c r="H29" s="15" t="str">
        <x:v>Installed</x:v>
      </x:c>
      <x:c r="I29" s="15" t="str">
        <x:v>Fascia gap point</x:v>
      </x:c>
      <x:c r="J29" s="15" t="str">
        <x:v>SRC007–008</x:v>
      </x:c>
      <x:c r="K29" s="15" t="str">
        <x:v>Assumed for learning</x:v>
      </x:c>
      <x:c r="L29" s="15" t="str">
        <x:v>Supply signed sensitivities from actual assembly model</x:v>
      </x:c>
    </x:row>
    <x:row r="30" ht="65" customHeight="1">
      <x:c r="A30" s="15" t="n">
        <x:v>4</x:v>
      </x:c>
      <x:c r="B30" s="15" t="str">
        <x:v>Both branches</x:v>
      </x:c>
      <x:c r="C30" s="15" t="str">
        <x:v>Body reference</x:v>
      </x:c>
      <x:c r="D30" s="15" t="str">
        <x:v>Shared body source</x:v>
      </x:c>
      <x:c r="E30" s="15" t="str">
        <x:v>Same source ID</x:v>
      </x:c>
      <x:c r="F30" s="15" t="str">
        <x:v>Combine signed effects</x:v>
      </x:c>
      <x:c r="G30" s="15" t="str">
        <x:v>Final inspection</x:v>
      </x:c>
      <x:c r="H30" s="15" t="str">
        <x:v>Same state</x:v>
      </x:c>
      <x:c r="I30" s="15" t="str">
        <x:v>Relative gap</x:v>
      </x:c>
      <x:c r="J30" s="15" t="str">
        <x:v>SRC010</x:v>
      </x:c>
      <x:c r="K30" s="15" t="str">
        <x:v>Illustrative 0.8 - 0.7</x:v>
      </x:c>
      <x:c r="L30" s="15" t="str">
        <x:v>One physical source has one RSS row</x:v>
      </x:c>
    </x:row>
    <x:row r="31" ht="2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</x:row>
    <x:row r="32" ht="2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</x:row>
    <x:row r="33" ht="2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</x:row>
    <x:row r="34" ht="2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</x:row>
    <x:row r="35" ht="2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48" customHeight="1">
      <x:c r="A38" s="6" t="str">
        <x:v>Scope: one scalar output; 60 unique source slots. Source rows are independent latent variables. Represent shared variation once with its net signed coefficient. Arbitrary correlated inputs require a covariance model outside this workbook.</x:v>
      </x:c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4:L4"/>
    <x:mergeCell ref="G6:L6"/>
    <x:mergeCell ref="G7:L7"/>
    <x:mergeCell ref="G8:L8"/>
    <x:mergeCell ref="G9:L9"/>
    <x:mergeCell ref="G10:L10"/>
    <x:mergeCell ref="G11:L11"/>
    <x:mergeCell ref="G12:L12"/>
    <x:mergeCell ref="A38:L38"/>
  </x:mergeCells>
  <x:dataValidations count="1">
    <x:dataValidation type="list" sqref="D12">
      <x:formula1>"Normal,Unspecified"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1" hidden="0" customWidth="1"/>
    <x:col min="2" max="2" width="10" hidden="0" customWidth="1"/>
    <x:col min="3" max="3" width="31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27" hidden="0" customWidth="1"/>
    <x:col min="24" max="24" width="7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3" customHeight="1">
      <x:c r="A2" s="3" t="str">
        <x:v>RSS source budget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30" customHeight="1">
      <x:c r="A4" s="6" t="str">
        <x:v>Amber cells are inputs. Blue-grey cells calculate. Start with SRC001–SRC013 learning data. Set Include to 0 for every unused source; do not delete formula columns.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</x:row>
    <x:row r="5" ht="52" customHeight="1">
      <x:c r="A5" s="10" t="str">
        <x:v>Source ID</x:v>
      </x:c>
      <x:c r="B5" s="10" t="str">
        <x:v>Include 1/0</x:v>
      </x:c>
      <x:c r="C5" s="10" t="str">
        <x:v>Source description</x:v>
      </x:c>
      <x:c r="D5" s="10" t="str">
        <x:v>Part / stage</x:v>
      </x:c>
      <x:c r="E5" s="10" t="str">
        <x:v>Input unit</x:v>
      </x:c>
      <x:c r="F5" s="10" t="str">
        <x:v>Lower deviation</x:v>
      </x:c>
      <x:c r="G5" s="10" t="str">
        <x:v>Upper deviation</x:v>
      </x:c>
      <x:c r="H5" s="10" t="str">
        <x:v>Sigma method</x:v>
      </x:c>
      <x:c r="I5" s="10" t="str">
        <x:v>Input k</x:v>
      </x:c>
      <x:c r="J5" s="10" t="str">
        <x:v>Measured σ</x:v>
      </x:c>
      <x:c r="K5" s="10" t="str">
        <x:v>Mean deviation</x:v>
      </x:c>
      <x:c r="L5" s="10" t="str">
        <x:v>Coefficient method</x:v>
      </x:c>
      <x:c r="M5" s="10" t="str">
        <x:v>Manual c</x:v>
      </x:c>
      <x:c r="N5" s="10" t="str">
        <x:v>Active signed c</x:v>
      </x:c>
      <x:c r="O5" s="10" t="str">
        <x:v>Input σ</x:v>
      </x:c>
      <x:c r="P5" s="10" t="str">
        <x:v>Mean effect</x:v>
      </x:c>
      <x:c r="Q5" s="10" t="str">
        <x:v>Signed σ effect</x:v>
      </x:c>
      <x:c r="R5" s="10" t="str">
        <x:v>Variance</x:v>
      </x:c>
      <x:c r="S5" s="10" t="str">
        <x:v>Variance share</x:v>
      </x:c>
      <x:c r="T5" s="10" t="str">
        <x:v>Rank</x:v>
      </x:c>
      <x:c r="U5" s="10" t="str">
        <x:v>Minimum effect</x:v>
      </x:c>
      <x:c r="V5" s="10" t="str">
        <x:v>Maximum effect</x:v>
      </x:c>
      <x:c r="W5" s="10" t="str">
        <x:v>Input status</x:v>
      </x:c>
      <x:c r="X5" s="10" t="str">
        <x:v>Evidence / notes</x:v>
      </x:c>
    </x:row>
    <x:row r="6" ht="23" customHeight="1">
      <x:c r="A6" s="2" t="str">
        <x:v>SRC001</x:v>
      </x:c>
      <x:c r="B6" s="12" t="n">
        <x:v>1</x:v>
      </x:c>
      <x:c r="C6" s="12" t="str">
        <x:v>A1 effective support height</x:v>
      </x:c>
      <x:c r="D6" s="12" t="str">
        <x:v>Bracket locating</x:v>
      </x:c>
      <x:c r="E6" s="12" t="str">
        <x:v>mm</x:v>
      </x:c>
      <x:c r="F6" s="21" t="n">
        <x:v>-0.3</x:v>
      </x:c>
      <x:c r="G6" s="21" t="n">
        <x:v>0.3</x:v>
      </x:c>
      <x:c r="H6" s="21" t="str">
        <x:v>Normal</x:v>
      </x:c>
      <x:c r="I6" s="22" t="n">
        <x:v>3</x:v>
      </x:c>
      <x:c r="J6" s="21" t="n">
        <x:v>0</x:v>
      </x:c>
      <x:c r="K6" s="21" t="n">
        <x:v>0</x:v>
      </x:c>
      <x:c r="L6" s="12" t="str">
        <x:v>Locator</x:v>
      </x:c>
      <x:c r="M6" s="12" t="n">
        <x:v>0</x:v>
      </x:c>
      <x:c r="N6" s="17" t="n">
        <x:f>IF(B6=0,0,IF(L6="Manual",IF(ISNUMBER(M6),M6,""),IF(L6="Locator",IF(AND('Locator'!$B$22="OK",COUNTIFS('Locator'!$A$31:$A$36,A6)=1),-INDEX('Locator'!$H$31:$H$36,MATCH(A6,'Locator'!$A$31:$A$36,0)),""),IF(L6="Perturbation",IF(ISNUMBER(INDEX('Sensitivity'!$H$6:$H$65,MATCH(A6,'Sensitivity'!$A$6:$A$65,0))),INDEX('Sensitivity'!$H$6:$H$65,MATCH(A6,'Sensitivity'!$A$6:$A$65,0)),""),""))))</x:f>
        <x:v>0.7594850612744398</x:v>
      </x:c>
      <x:c r="O6" s="17" t="n">
        <x:f>IF(B6=0,0,IF(H6="Normal",IF(AND(ISNUMBER(F6),ISNUMBER(G6),ISNUMBER(I6),I6&gt;0,G6&gt;F6),(G6-F6)/(2*I6),""),IF(H6="Uniform",IF(AND(ISNUMBER(F6),ISNUMBER(G6),G6&gt;F6),(G6-F6)/SQRT(12),""),IF(H6="Measured",IF(AND(ISNUMBER(J6),J6&gt;=0),J6,""),""))))</x:f>
        <x:v>0.09999999999999999</x:v>
      </x:c>
      <x:c r="P6" s="17" t="n">
        <x:f>IF(B6=0,0,IF(AND(ISNUMBER(N6),ISNUMBER(K6)),N6*K6,""))</x:f>
        <x:v>0</x:v>
      </x:c>
      <x:c r="Q6" s="17" t="n">
        <x:f>IF(B6=0,0,IF(AND(ISNUMBER(N6),ISNUMBER(O6)),N6*O6,""))</x:f>
        <x:v>0.07594850612744397</x:v>
      </x:c>
      <x:c r="R6" s="17" t="n">
        <x:f>IF(ISNUMBER(Q6),Q6^2,"")</x:f>
        <x:v>0.005768175582990394</x:v>
      </x:c>
      <x:c r="S6" s="19" t="n">
        <x:f>IF(AND(B6=1,$B$69&gt;0,ISNUMBER(R6)),R6/$B$69,"")</x:f>
        <x:v>0.07940539427941253</x:v>
      </x:c>
      <x:c r="T6" s="20" t="n">
        <x:f>IF(AND(B6=1,ISNUMBER(R6)),COUNTIFS($R$6:$R$65,"&gt;"&amp;R6,$B$6:$B$65,1)+COUNTIFS($R$6:R6,R6,$B$6:B6,1),"")</x:f>
        <x:v>4</x:v>
      </x:c>
      <x:c r="U6" s="17" t="n">
        <x:f>IF(B6=0,0,IF(AND(ISNUMBER(N6),ISNUMBER(F6),ISNUMBER(G6)),MIN(N6*F6,N6*G6),""))</x:f>
        <x:v>-0.22784551838233194</x:v>
      </x:c>
      <x:c r="V6" s="17" t="n">
        <x:f>IF(B6=0,0,IF(AND(ISNUMBER(N6),ISNUMBER(F6),ISNUMBER(G6)),MAX(N6*F6,N6*G6),""))</x:f>
        <x:v>0.22784551838233194</x:v>
      </x:c>
      <x:c r="W6" s="2" t="str">
        <x:f>IF(B6=0,"OFF",IF(B6&lt;&gt;1,"Use Include 1 or 0",IF(OR(C6="",E6=""),"Enter name and unit",IF(OR(NOT(ISNUMBER(F6)),NOT(ISNUMBER(G6)),G6&lt;=F6),"Review deviation limits",IF(NOT(ISNUMBER(K6)),"Enter mean deviation",IF(AND(H6="Uniform",ABS(K6-(F6+G6)/2)&gt;0.000000001),"Uniform mean = midpoint",IF(NOT(ISNUMBER(O6)),"Review sigma inputs",IF(AND(L6="Locator",OR(E6&lt;&gt;"mm",'Setup'!$D$7&lt;&gt;"mm")),"Locator units must be mm",IF(NOT(ISNUMBER(N6)),"Review coefficient","OK")))))))))</x:f>
        <x:v>OK</x:v>
      </x:c>
      <x:c r="X6" s="12" t="str">
        <x:v>Assumed normal limits ±3σ; interface error</x:v>
      </x:c>
    </x:row>
    <x:row r="7" ht="23" customHeight="1">
      <x:c r="A7" s="2" t="str">
        <x:v>SRC002</x:v>
      </x:c>
      <x:c r="B7" s="12" t="n">
        <x:v>1</x:v>
      </x:c>
      <x:c r="C7" s="12" t="str">
        <x:v>A2 effective support height</x:v>
      </x:c>
      <x:c r="D7" s="12" t="str">
        <x:v>Bracket locating</x:v>
      </x:c>
      <x:c r="E7" s="12" t="str">
        <x:v>mm</x:v>
      </x:c>
      <x:c r="F7" s="21" t="n">
        <x:v>-0.3</x:v>
      </x:c>
      <x:c r="G7" s="21" t="n">
        <x:v>0.3</x:v>
      </x:c>
      <x:c r="H7" s="21" t="str">
        <x:v>Normal</x:v>
      </x:c>
      <x:c r="I7" s="22" t="n">
        <x:v>3</x:v>
      </x:c>
      <x:c r="J7" s="21" t="n">
        <x:v>0</x:v>
      </x:c>
      <x:c r="K7" s="21" t="n">
        <x:v>0</x:v>
      </x:c>
      <x:c r="L7" s="12" t="str">
        <x:v>Locator</x:v>
      </x:c>
      <x:c r="M7" s="12" t="n">
        <x:v>0</x:v>
      </x:c>
      <x:c r="N7" s="17" t="n">
        <x:f>IF(B7=0,0,IF(L7="Manual",IF(ISNUMBER(M7),M7,""),IF(L7="Locator",IF(AND('Locator'!$B$22="OK",COUNTIFS('Locator'!$A$31:$A$36,A7)=1),-INDEX('Locator'!$H$31:$H$36,MATCH(A7,'Locator'!$A$31:$A$36,0)),""),IF(L7="Perturbation",IF(ISNUMBER(INDEX('Sensitivity'!$H$6:$H$65,MATCH(A7,'Sensitivity'!$A$6:$A$65,0))),INDEX('Sensitivity'!$H$6:$H$65,MATCH(A7,'Sensitivity'!$A$6:$A$65,0)),""),""))))</x:f>
        <x:v>-0.8380524814062785</x:v>
      </x:c>
      <x:c r="O7" s="17" t="n">
        <x:f>IF(B7=0,0,IF(H7="Normal",IF(AND(ISNUMBER(F7),ISNUMBER(G7),ISNUMBER(I7),I7&gt;0,G7&gt;F7),(G7-F7)/(2*I7),""),IF(H7="Uniform",IF(AND(ISNUMBER(F7),ISNUMBER(G7),G7&gt;F7),(G7-F7)/SQRT(12),""),IF(H7="Measured",IF(AND(ISNUMBER(J7),J7&gt;=0),J7,""),""))))</x:f>
        <x:v>0.09999999999999999</x:v>
      </x:c>
      <x:c r="P7" s="17" t="n">
        <x:f>IF(B7=0,0,IF(AND(ISNUMBER(N7),ISNUMBER(K7)),N7*K7,""))</x:f>
        <x:v>0</x:v>
      </x:c>
      <x:c r="Q7" s="17" t="n">
        <x:f>IF(B7=0,0,IF(AND(ISNUMBER(N7),ISNUMBER(O7)),N7*O7,""))</x:f>
        <x:v>-0.08380524814062784</x:v>
      </x:c>
      <x:c r="R7" s="17" t="n">
        <x:f>IF(ISNUMBER(Q7),Q7^2,"")</x:f>
        <x:v>0.007023319615912206</x:v>
      </x:c>
      <x:c r="S7" s="19" t="n">
        <x:f>IF(AND(B7=1,$B$69&gt;0,ISNUMBER(R7)),R7/$B$69,"")</x:f>
        <x:v>0.09668385700608613</x:v>
      </x:c>
      <x:c r="T7" s="20" t="n">
        <x:f>IF(AND(B7=1,ISNUMBER(R7)),COUNTIFS($R$6:$R$65,"&gt;"&amp;R7,$B$6:$B$65,1)+COUNTIFS($R$6:R7,R7,$B$6:B7,1),"")</x:f>
        <x:v>3</x:v>
      </x:c>
      <x:c r="U7" s="17" t="n">
        <x:f>IF(B7=0,0,IF(AND(ISNUMBER(N7),ISNUMBER(F7),ISNUMBER(G7)),MIN(N7*F7,N7*G7),""))</x:f>
        <x:v>-0.2514157444218835</x:v>
      </x:c>
      <x:c r="V7" s="17" t="n">
        <x:f>IF(B7=0,0,IF(AND(ISNUMBER(N7),ISNUMBER(F7),ISNUMBER(G7)),MAX(N7*F7,N7*G7),""))</x:f>
        <x:v>0.2514157444218835</x:v>
      </x:c>
      <x:c r="W7" s="2" t="str">
        <x:f>IF(B7=0,"OFF",IF(B7&lt;&gt;1,"Use Include 1 or 0",IF(OR(C7="",E7=""),"Enter name and unit",IF(OR(NOT(ISNUMBER(F7)),NOT(ISNUMBER(G7)),G7&lt;=F7),"Review deviation limits",IF(NOT(ISNUMBER(K7)),"Enter mean deviation",IF(AND(H7="Uniform",ABS(K7-(F7+G7)/2)&gt;0.000000001),"Uniform mean = midpoint",IF(NOT(ISNUMBER(O7)),"Review sigma inputs",IF(AND(L7="Locator",OR(E7&lt;&gt;"mm",'Setup'!$D$7&lt;&gt;"mm")),"Locator units must be mm",IF(NOT(ISNUMBER(N7)),"Review coefficient","OK")))))))))</x:f>
        <x:v>OK</x:v>
      </x:c>
      <x:c r="X7" s="12" t="str">
        <x:v>Derived geometric coefficient</x:v>
      </x:c>
    </x:row>
    <x:row r="8" ht="23" customHeight="1">
      <x:c r="A8" s="2" t="str">
        <x:v>SRC003</x:v>
      </x:c>
      <x:c r="B8" s="12" t="n">
        <x:v>1</x:v>
      </x:c>
      <x:c r="C8" s="12" t="str">
        <x:v>A3 effective support height</x:v>
      </x:c>
      <x:c r="D8" s="12" t="str">
        <x:v>Bracket locating</x:v>
      </x:c>
      <x:c r="E8" s="12" t="str">
        <x:v>mm</x:v>
      </x:c>
      <x:c r="F8" s="21" t="n">
        <x:v>-0.3</x:v>
      </x:c>
      <x:c r="G8" s="21" t="n">
        <x:v>0.3</x:v>
      </x:c>
      <x:c r="H8" s="21" t="str">
        <x:v>Normal</x:v>
      </x:c>
      <x:c r="I8" s="22" t="n">
        <x:v>3</x:v>
      </x:c>
      <x:c r="J8" s="21" t="n">
        <x:v>0</x:v>
      </x:c>
      <x:c r="K8" s="21" t="n">
        <x:v>0</x:v>
      </x:c>
      <x:c r="L8" s="12" t="str">
        <x:v>Locator</x:v>
      </x:c>
      <x:c r="M8" s="12" t="n">
        <x:v>0</x:v>
      </x:c>
      <x:c r="N8" s="17" t="n">
        <x:f>IF(B8=0,0,IF(L8="Manual",IF(ISNUMBER(M8),M8,""),IF(L8="Locator",IF(AND('Locator'!$B$22="OK",COUNTIFS('Locator'!$A$31:$A$36,A8)=1),-INDEX('Locator'!$H$31:$H$36,MATCH(A8,'Locator'!$A$31:$A$36,0)),""),IF(L8="Perturbation",IF(ISNUMBER(INDEX('Sensitivity'!$H$6:$H$65,MATCH(A8,'Sensitivity'!$A$6:$A$65,0))),INDEX('Sensitivity'!$H$6:$H$65,MATCH(A8,'Sensitivity'!$A$6:$A$65,0)),""),""))))</x:f>
        <x:v>-0.628539361054709</x:v>
      </x:c>
      <x:c r="O8" s="17" t="n">
        <x:f>IF(B8=0,0,IF(H8="Normal",IF(AND(ISNUMBER(F8),ISNUMBER(G8),ISNUMBER(I8),I8&gt;0,G8&gt;F8),(G8-F8)/(2*I8),""),IF(H8="Uniform",IF(AND(ISNUMBER(F8),ISNUMBER(G8),G8&gt;F8),(G8-F8)/SQRT(12),""),IF(H8="Measured",IF(AND(ISNUMBER(J8),J8&gt;=0),J8,""),""))))</x:f>
        <x:v>0.09999999999999999</x:v>
      </x:c>
      <x:c r="P8" s="17" t="n">
        <x:f>IF(B8=0,0,IF(AND(ISNUMBER(N8),ISNUMBER(K8)),N8*K8,""))</x:f>
        <x:v>0</x:v>
      </x:c>
      <x:c r="Q8" s="17" t="n">
        <x:f>IF(B8=0,0,IF(AND(ISNUMBER(N8),ISNUMBER(O8)),N8*O8,""))</x:f>
        <x:v>-0.0628539361054709</x:v>
      </x:c>
      <x:c r="R8" s="17" t="n">
        <x:f>IF(ISNUMBER(Q8),Q8^2,"")</x:f>
        <x:v>0.003950617283950617</x:v>
      </x:c>
      <x:c r="S8" s="19" t="n">
        <x:f>IF(AND(B8=1,$B$69&gt;0,ISNUMBER(R8)),R8/$B$69,"")</x:f>
        <x:v>0.05438466956592347</x:v>
      </x:c>
      <x:c r="T8" s="20" t="n">
        <x:f>IF(AND(B8=1,ISNUMBER(R8)),COUNTIFS($R$6:$R$65,"&gt;"&amp;R8,$B$6:$B$65,1)+COUNTIFS($R$6:R8,R8,$B$6:B8,1),"")</x:f>
        <x:v>5</x:v>
      </x:c>
      <x:c r="U8" s="17" t="n">
        <x:f>IF(B8=0,0,IF(AND(ISNUMBER(N8),ISNUMBER(F8),ISNUMBER(G8)),MIN(N8*F8,N8*G8),""))</x:f>
        <x:v>-0.1885618083164127</x:v>
      </x:c>
      <x:c r="V8" s="17" t="n">
        <x:f>IF(B8=0,0,IF(AND(ISNUMBER(N8),ISNUMBER(F8),ISNUMBER(G8)),MAX(N8*F8,N8*G8),""))</x:f>
        <x:v>0.1885618083164127</x:v>
      </x:c>
      <x:c r="W8" s="2" t="str">
        <x:f>IF(B8=0,"OFF",IF(B8&lt;&gt;1,"Use Include 1 or 0",IF(OR(C8="",E8=""),"Enter name and unit",IF(OR(NOT(ISNUMBER(F8)),NOT(ISNUMBER(G8)),G8&lt;=F8),"Review deviation limits",IF(NOT(ISNUMBER(K8)),"Enter mean deviation",IF(AND(H8="Uniform",ABS(K8-(F8+G8)/2)&gt;0.000000001),"Uniform mean = midpoint",IF(NOT(ISNUMBER(O8)),"Review sigma inputs",IF(AND(L8="Locator",OR(E8&lt;&gt;"mm",'Setup'!$D$7&lt;&gt;"mm")),"Locator units must be mm",IF(NOT(ISNUMBER(N8)),"Review coefficient","OK")))))))))</x:f>
        <x:v>OK</x:v>
      </x:c>
      <x:c r="X8" s="12" t="str">
        <x:v>Derived geometric coefficient</x:v>
      </x:c>
    </x:row>
    <x:row r="9" ht="23" customHeight="1">
      <x:c r="A9" s="2" t="str">
        <x:v>SRC004</x:v>
      </x:c>
      <x:c r="B9" s="12" t="n">
        <x:v>1</x:v>
      </x:c>
      <x:c r="C9" s="12" t="str">
        <x:v>Round locator X error</x:v>
      </x:c>
      <x:c r="D9" s="12" t="str">
        <x:v>Bracket locating</x:v>
      </x:c>
      <x:c r="E9" s="12" t="str">
        <x:v>mm</x:v>
      </x:c>
      <x:c r="F9" s="21" t="n">
        <x:v>-0.18</x:v>
      </x:c>
      <x:c r="G9" s="21" t="n">
        <x:v>0.18</x:v>
      </x:c>
      <x:c r="H9" s="21" t="str">
        <x:v>Normal</x:v>
      </x:c>
      <x:c r="I9" s="22" t="n">
        <x:v>3</x:v>
      </x:c>
      <x:c r="J9" s="21" t="n">
        <x:v>0</x:v>
      </x:c>
      <x:c r="K9" s="21" t="n">
        <x:v>0</x:v>
      </x:c>
      <x:c r="L9" s="12" t="str">
        <x:v>Locator</x:v>
      </x:c>
      <x:c r="M9" s="12" t="n">
        <x:v>0</x:v>
      </x:c>
      <x:c r="N9" s="17" t="n">
        <x:f>IF(B9=0,0,IF(L9="Manual",IF(ISNUMBER(M9),M9,""),IF(L9="Locator",IF(AND('Locator'!$B$22="OK",COUNTIFS('Locator'!$A$31:$A$36,A9)=1),-INDEX('Locator'!$H$31:$H$36,MATCH(A9,'Locator'!$A$31:$A$36,0)),""),IF(L9="Perturbation",IF(ISNUMBER(INDEX('Sensitivity'!$H$6:$H$65,MATCH(A9,'Sensitivity'!$A$6:$A$65,0))),INDEX('Sensitivity'!$H$6:$H$65,MATCH(A9,'Sensitivity'!$A$6:$A$65,0)),""),""))))</x:f>
        <x:v>-0.7071067811865476</x:v>
      </x:c>
      <x:c r="O9" s="17" t="n">
        <x:f>IF(B9=0,0,IF(H9="Normal",IF(AND(ISNUMBER(F9),ISNUMBER(G9),ISNUMBER(I9),I9&gt;0,G9&gt;F9),(G9-F9)/(2*I9),""),IF(H9="Uniform",IF(AND(ISNUMBER(F9),ISNUMBER(G9),G9&gt;F9),(G9-F9)/SQRT(12),""),IF(H9="Measured",IF(AND(ISNUMBER(J9),J9&gt;=0),J9,""),""))))</x:f>
        <x:v>0.06</x:v>
      </x:c>
      <x:c r="P9" s="17" t="n">
        <x:f>IF(B9=0,0,IF(AND(ISNUMBER(N9),ISNUMBER(K9)),N9*K9,""))</x:f>
        <x:v>0</x:v>
      </x:c>
      <x:c r="Q9" s="17" t="n">
        <x:f>IF(B9=0,0,IF(AND(ISNUMBER(N9),ISNUMBER(O9)),N9*O9,""))</x:f>
        <x:v>-0.042426406871192854</x:v>
      </x:c>
      <x:c r="R9" s="17" t="n">
        <x:f>IF(ISNUMBER(Q9),Q9^2,"")</x:f>
        <x:v>0.0018000000000000002</x:v>
      </x:c>
      <x:c r="S9" s="19" t="n">
        <x:f>IF(AND(B9=1,$B$69&gt;0,ISNUMBER(R9)),R9/$B$69,"")</x:f>
        <x:v>0.024779015070973884</x:v>
      </x:c>
      <x:c r="T9" s="20" t="n">
        <x:f>IF(AND(B9=1,ISNUMBER(R9)),COUNTIFS($R$6:$R$65,"&gt;"&amp;R9,$B$6:$B$65,1)+COUNTIFS($R$6:R9,R9,$B$6:B9,1),"")</x:f>
        <x:v>7</x:v>
      </x:c>
      <x:c r="U9" s="17" t="n">
        <x:f>IF(B9=0,0,IF(AND(ISNUMBER(N9),ISNUMBER(F9),ISNUMBER(G9)),MIN(N9*F9,N9*G9),""))</x:f>
        <x:v>-0.12727922061357855</x:v>
      </x:c>
      <x:c r="V9" s="17" t="n">
        <x:f>IF(B9=0,0,IF(AND(ISNUMBER(N9),ISNUMBER(F9),ISNUMBER(G9)),MAX(N9*F9,N9*G9),""))</x:f>
        <x:v>0.12727922061357855</x:v>
      </x:c>
      <x:c r="W9" s="2" t="str">
        <x:f>IF(B9=0,"OFF",IF(B9&lt;&gt;1,"Use Include 1 or 0",IF(OR(C9="",E9=""),"Enter name and unit",IF(OR(NOT(ISNUMBER(F9)),NOT(ISNUMBER(G9)),G9&lt;=F9),"Review deviation limits",IF(NOT(ISNUMBER(K9)),"Enter mean deviation",IF(AND(H9="Uniform",ABS(K9-(F9+G9)/2)&gt;0.000000001),"Uniform mean = midpoint",IF(NOT(ISNUMBER(O9)),"Review sigma inputs",IF(AND(L9="Locator",OR(E9&lt;&gt;"mm",'Setup'!$D$7&lt;&gt;"mm")),"Locator units must be mm",IF(NOT(ISNUMBER(N9)),"Review coefficient","OK")))))))))</x:f>
        <x:v>OK</x:v>
      </x:c>
      <x:c r="X9" s="12" t="str">
        <x:v>Effective relative interface X error</x:v>
      </x:c>
    </x:row>
    <x:row r="10" ht="23" customHeight="1">
      <x:c r="A10" s="2" t="str">
        <x:v>SRC005</x:v>
      </x:c>
      <x:c r="B10" s="12" t="n">
        <x:v>1</x:v>
      </x:c>
      <x:c r="C10" s="12" t="str">
        <x:v>Round locator Y error</x:v>
      </x:c>
      <x:c r="D10" s="12" t="str">
        <x:v>Bracket locating</x:v>
      </x:c>
      <x:c r="E10" s="12" t="str">
        <x:v>mm</x:v>
      </x:c>
      <x:c r="F10" s="21" t="n">
        <x:v>-0.18</x:v>
      </x:c>
      <x:c r="G10" s="21" t="n">
        <x:v>0.18</x:v>
      </x:c>
      <x:c r="H10" s="21" t="str">
        <x:v>Normal</x:v>
      </x:c>
      <x:c r="I10" s="22" t="n">
        <x:v>3</x:v>
      </x:c>
      <x:c r="J10" s="21" t="n">
        <x:v>0</x:v>
      </x:c>
      <x:c r="K10" s="21" t="n">
        <x:v>0</x:v>
      </x:c>
      <x:c r="L10" s="12" t="str">
        <x:v>Locator</x:v>
      </x:c>
      <x:c r="M10" s="12" t="n">
        <x:v>0</x:v>
      </x:c>
      <x:c r="N10" s="17" t="n">
        <x:f>IF(B10=0,0,IF(L10="Manual",IF(ISNUMBER(M10),M10,""),IF(L10="Locator",IF(AND('Locator'!$B$22="OK",COUNTIFS('Locator'!$A$31:$A$36,A10)=1),-INDEX('Locator'!$H$31:$H$36,MATCH(A10,'Locator'!$A$31:$A$36,0)),""),IF(L10="Perturbation",IF(ISNUMBER(INDEX('Sensitivity'!$H$6:$H$65,MATCH(A10,'Sensitivity'!$A$6:$A$65,0))),INDEX('Sensitivity'!$H$6:$H$65,MATCH(A10,'Sensitivity'!$A$6:$A$65,0)),""),""))))</x:f>
        <x:v>-0.4714045207910317</x:v>
      </x:c>
      <x:c r="O10" s="17" t="n">
        <x:f>IF(B10=0,0,IF(H10="Normal",IF(AND(ISNUMBER(F10),ISNUMBER(G10),ISNUMBER(I10),I10&gt;0,G10&gt;F10),(G10-F10)/(2*I10),""),IF(H10="Uniform",IF(AND(ISNUMBER(F10),ISNUMBER(G10),G10&gt;F10),(G10-F10)/SQRT(12),""),IF(H10="Measured",IF(AND(ISNUMBER(J10),J10&gt;=0),J10,""),""))))</x:f>
        <x:v>0.06</x:v>
      </x:c>
      <x:c r="P10" s="17" t="n">
        <x:f>IF(B10=0,0,IF(AND(ISNUMBER(N10),ISNUMBER(K10)),N10*K10,""))</x:f>
        <x:v>0</x:v>
      </x:c>
      <x:c r="Q10" s="17" t="n">
        <x:f>IF(B10=0,0,IF(AND(ISNUMBER(N10),ISNUMBER(O10)),N10*O10,""))</x:f>
        <x:v>-0.028284271247461898</x:v>
      </x:c>
      <x:c r="R10" s="17" t="n">
        <x:f>IF(ISNUMBER(Q10),Q10^2,"")</x:f>
        <x:v>0.0007999999999999998</x:v>
      </x:c>
      <x:c r="S10" s="19" t="n">
        <x:f>IF(AND(B10=1,$B$69&gt;0,ISNUMBER(R10)),R10/$B$69,"")</x:f>
        <x:v>0.011012895587099501</x:v>
      </x:c>
      <x:c r="T10" s="20" t="n">
        <x:f>IF(AND(B10=1,ISNUMBER(R10)),COUNTIFS($R$6:$R$65,"&gt;"&amp;R10,$B$6:$B$65,1)+COUNTIFS($R$6:R10,R10,$B$6:B10,1),"")</x:f>
        <x:v>11</x:v>
      </x:c>
      <x:c r="U10" s="17" t="n">
        <x:f>IF(B10=0,0,IF(AND(ISNUMBER(N10),ISNUMBER(F10),ISNUMBER(G10)),MIN(N10*F10,N10*G10),""))</x:f>
        <x:v>-0.0848528137423857</x:v>
      </x:c>
      <x:c r="V10" s="17" t="n">
        <x:f>IF(B10=0,0,IF(AND(ISNUMBER(N10),ISNUMBER(F10),ISNUMBER(G10)),MAX(N10*F10,N10*G10),""))</x:f>
        <x:v>0.0848528137423857</x:v>
      </x:c>
      <x:c r="W10" s="2" t="str">
        <x:f>IF(B10=0,"OFF",IF(B10&lt;&gt;1,"Use Include 1 or 0",IF(OR(C10="",E10=""),"Enter name and unit",IF(OR(NOT(ISNUMBER(F10)),NOT(ISNUMBER(G10)),G10&lt;=F10),"Review deviation limits",IF(NOT(ISNUMBER(K10)),"Enter mean deviation",IF(AND(H10="Uniform",ABS(K10-(F10+G10)/2)&gt;0.000000001),"Uniform mean = midpoint",IF(NOT(ISNUMBER(O10)),"Review sigma inputs",IF(AND(L10="Locator",OR(E10&lt;&gt;"mm",'Setup'!$D$7&lt;&gt;"mm")),"Locator units must be mm",IF(NOT(ISNUMBER(N10)),"Review coefficient","OK")))))))))</x:f>
        <x:v>OK</x:v>
      </x:c>
      <x:c r="X10" s="12" t="str">
        <x:v>Influences translation and rotation</x:v>
      </x:c>
    </x:row>
    <x:row r="11" ht="23" customHeight="1">
      <x:c r="A11" s="2" t="str">
        <x:v>SRC006</x:v>
      </x:c>
      <x:c r="B11" s="12" t="n">
        <x:v>1</x:v>
      </x:c>
      <x:c r="C11" s="12" t="str">
        <x:v>Slot transverse Y error</x:v>
      </x:c>
      <x:c r="D11" s="12" t="str">
        <x:v>Bracket locating</x:v>
      </x:c>
      <x:c r="E11" s="12" t="str">
        <x:v>mm</x:v>
      </x:c>
      <x:c r="F11" s="21" t="n">
        <x:v>-0.18</x:v>
      </x:c>
      <x:c r="G11" s="21" t="n">
        <x:v>0.18</x:v>
      </x:c>
      <x:c r="H11" s="21" t="str">
        <x:v>Normal</x:v>
      </x:c>
      <x:c r="I11" s="22" t="n">
        <x:v>3</x:v>
      </x:c>
      <x:c r="J11" s="21" t="n">
        <x:v>0</x:v>
      </x:c>
      <x:c r="K11" s="21" t="n">
        <x:v>0</x:v>
      </x:c>
      <x:c r="L11" s="12" t="str">
        <x:v>Locator</x:v>
      </x:c>
      <x:c r="M11" s="12" t="n">
        <x:v>0</x:v>
      </x:c>
      <x:c r="N11" s="17" t="n">
        <x:f>IF(B11=0,0,IF(L11="Manual",IF(ISNUMBER(M11),M11,""),IF(L11="Locator",IF(AND('Locator'!$B$22="OK",COUNTIFS('Locator'!$A$31:$A$36,A11)=1),-INDEX('Locator'!$H$31:$H$36,MATCH(A11,'Locator'!$A$31:$A$36,0)),""),IF(L11="Perturbation",IF(ISNUMBER(INDEX('Sensitivity'!$H$6:$H$65,MATCH(A11,'Sensitivity'!$A$6:$A$65,0))),INDEX('Sensitivity'!$H$6:$H$65,MATCH(A11,'Sensitivity'!$A$6:$A$65,0)),""),""))))</x:f>
        <x:v>0.4714045207910317</x:v>
      </x:c>
      <x:c r="O11" s="17" t="n">
        <x:f>IF(B11=0,0,IF(H11="Normal",IF(AND(ISNUMBER(F11),ISNUMBER(G11),ISNUMBER(I11),I11&gt;0,G11&gt;F11),(G11-F11)/(2*I11),""),IF(H11="Uniform",IF(AND(ISNUMBER(F11),ISNUMBER(G11),G11&gt;F11),(G11-F11)/SQRT(12),""),IF(H11="Measured",IF(AND(ISNUMBER(J11),J11&gt;=0),J11,""),""))))</x:f>
        <x:v>0.06</x:v>
      </x:c>
      <x:c r="P11" s="17" t="n">
        <x:f>IF(B11=0,0,IF(AND(ISNUMBER(N11),ISNUMBER(K11)),N11*K11,""))</x:f>
        <x:v>0</x:v>
      </x:c>
      <x:c r="Q11" s="17" t="n">
        <x:f>IF(B11=0,0,IF(AND(ISNUMBER(N11),ISNUMBER(O11)),N11*O11,""))</x:f>
        <x:v>0.028284271247461898</x:v>
      </x:c>
      <x:c r="R11" s="17" t="n">
        <x:f>IF(ISNUMBER(Q11),Q11^2,"")</x:f>
        <x:v>0.0007999999999999998</x:v>
      </x:c>
      <x:c r="S11" s="19" t="n">
        <x:f>IF(AND(B11=1,$B$69&gt;0,ISNUMBER(R11)),R11/$B$69,"")</x:f>
        <x:v>0.011012895587099501</x:v>
      </x:c>
      <x:c r="T11" s="20" t="n">
        <x:f>IF(AND(B11=1,ISNUMBER(R11)),COUNTIFS($R$6:$R$65,"&gt;"&amp;R11,$B$6:$B$65,1)+COUNTIFS($R$6:R11,R11,$B$6:B11,1),"")</x:f>
        <x:v>12</x:v>
      </x:c>
      <x:c r="U11" s="17" t="n">
        <x:f>IF(B11=0,0,IF(AND(ISNUMBER(N11),ISNUMBER(F11),ISNUMBER(G11)),MIN(N11*F11,N11*G11),""))</x:f>
        <x:v>-0.0848528137423857</x:v>
      </x:c>
      <x:c r="V11" s="17" t="n">
        <x:f>IF(B11=0,0,IF(AND(ISNUMBER(N11),ISNUMBER(F11),ISNUMBER(G11)),MAX(N11*F11,N11*G11),""))</x:f>
        <x:v>0.0848528137423857</x:v>
      </x:c>
      <x:c r="W11" s="2" t="str">
        <x:f>IF(B11=0,"OFF",IF(B11&lt;&gt;1,"Use Include 1 or 0",IF(OR(C11="",E11=""),"Enter name and unit",IF(OR(NOT(ISNUMBER(F11)),NOT(ISNUMBER(G11)),G11&lt;=F11),"Review deviation limits",IF(NOT(ISNUMBER(K11)),"Enter mean deviation",IF(AND(H11="Uniform",ABS(K11-(F11+G11)/2)&gt;0.000000001),"Uniform mean = midpoint",IF(NOT(ISNUMBER(O11)),"Review sigma inputs",IF(AND(L11="Locator",OR(E11&lt;&gt;"mm",'Setup'!$D$7&lt;&gt;"mm")),"Locator units must be mm",IF(NOT(ISNUMBER(N11)),"Review coefficient","OK")))))))))</x:f>
        <x:v>OK</x:v>
      </x:c>
      <x:c r="X11" s="12" t="str">
        <x:v>Slot releases longitudinal movement</x:v>
      </x:c>
    </x:row>
    <x:row r="12" ht="23" customHeight="1">
      <x:c r="A12" s="2" t="str">
        <x:v>SRC007</x:v>
      </x:c>
      <x:c r="B12" s="12" t="n">
        <x:v>1</x:v>
      </x:c>
      <x:c r="C12" s="12" t="str">
        <x:v>Fascia clip location</x:v>
      </x:c>
      <x:c r="D12" s="12" t="str">
        <x:v>Fascia branch</x:v>
      </x:c>
      <x:c r="E12" s="12" t="str">
        <x:v>mm</x:v>
      </x:c>
      <x:c r="F12" s="21" t="n">
        <x:v>-0.45</x:v>
      </x:c>
      <x:c r="G12" s="21" t="n">
        <x:v>0.45</x:v>
      </x:c>
      <x:c r="H12" s="21" t="str">
        <x:v>Normal</x:v>
      </x:c>
      <x:c r="I12" s="22" t="n">
        <x:v>3</x:v>
      </x:c>
      <x:c r="J12" s="21" t="n">
        <x:v>0</x:v>
      </x:c>
      <x:c r="K12" s="21" t="n">
        <x:v>0</x:v>
      </x:c>
      <x:c r="L12" s="12" t="str">
        <x:v>Manual</x:v>
      </x:c>
      <x:c r="M12" s="12" t="n">
        <x:v>0.8</x:v>
      </x:c>
      <x:c r="N12" s="17" t="n">
        <x:f>IF(B12=0,0,IF(L12="Manual",IF(ISNUMBER(M12),M12,""),IF(L12="Locator",IF(AND('Locator'!$B$22="OK",COUNTIFS('Locator'!$A$31:$A$36,A12)=1),-INDEX('Locator'!$H$31:$H$36,MATCH(A12,'Locator'!$A$31:$A$36,0)),""),IF(L12="Perturbation",IF(ISNUMBER(INDEX('Sensitivity'!$H$6:$H$65,MATCH(A12,'Sensitivity'!$A$6:$A$65,0))),INDEX('Sensitivity'!$H$6:$H$65,MATCH(A12,'Sensitivity'!$A$6:$A$65,0)),""),""))))</x:f>
        <x:v>0.8</x:v>
      </x:c>
      <x:c r="O12" s="17" t="n">
        <x:f>IF(B12=0,0,IF(H12="Normal",IF(AND(ISNUMBER(F12),ISNUMBER(G12),ISNUMBER(I12),I12&gt;0,G12&gt;F12),(G12-F12)/(2*I12),""),IF(H12="Uniform",IF(AND(ISNUMBER(F12),ISNUMBER(G12),G12&gt;F12),(G12-F12)/SQRT(12),""),IF(H12="Measured",IF(AND(ISNUMBER(J12),J12&gt;=0),J12,""),""))))</x:f>
        <x:v>0.15</x:v>
      </x:c>
      <x:c r="P12" s="17" t="n">
        <x:f>IF(B12=0,0,IF(AND(ISNUMBER(N12),ISNUMBER(K12)),N12*K12,""))</x:f>
        <x:v>0</x:v>
      </x:c>
      <x:c r="Q12" s="17" t="n">
        <x:f>IF(B12=0,0,IF(AND(ISNUMBER(N12),ISNUMBER(O12)),N12*O12,""))</x:f>
        <x:v>0.12</x:v>
      </x:c>
      <x:c r="R12" s="17" t="n">
        <x:f>IF(ISNUMBER(Q12),Q12^2,"")</x:f>
        <x:v>0.0144</x:v>
      </x:c>
      <x:c r="S12" s="19" t="n">
        <x:f>IF(AND(B12=1,$B$69&gt;0,ISNUMBER(R12)),R12/$B$69,"")</x:f>
        <x:v>0.19823212056779105</x:v>
      </x:c>
      <x:c r="T12" s="20" t="n">
        <x:f>IF(AND(B12=1,ISNUMBER(R12)),COUNTIFS($R$6:$R$65,"&gt;"&amp;R12,$B$6:$B$65,1)+COUNTIFS($R$6:R12,R12,$B$6:B12,1),"")</x:f>
        <x:v>2</x:v>
      </x:c>
      <x:c r="U12" s="17" t="n">
        <x:f>IF(B12=0,0,IF(AND(ISNUMBER(N12),ISNUMBER(F12),ISNUMBER(G12)),MIN(N12*F12,N12*G12),""))</x:f>
        <x:v>-0.36000000000000004</x:v>
      </x:c>
      <x:c r="V12" s="17" t="n">
        <x:f>IF(B12=0,0,IF(AND(ISNUMBER(N12),ISNUMBER(F12),ISNUMBER(G12)),MAX(N12*F12,N12*G12),""))</x:f>
        <x:v>0.36000000000000004</x:v>
      </x:c>
      <x:c r="W12" s="2" t="str">
        <x:f>IF(B12=0,"OFF",IF(B12&lt;&gt;1,"Use Include 1 or 0",IF(OR(C12="",E12=""),"Enter name and unit",IF(OR(NOT(ISNUMBER(F12)),NOT(ISNUMBER(G12)),G12&lt;=F12),"Review deviation limits",IF(NOT(ISNUMBER(K12)),"Enter mean deviation",IF(AND(H12="Uniform",ABS(K12-(F12+G12)/2)&gt;0.000000001),"Uniform mean = midpoint",IF(NOT(ISNUMBER(O12)),"Review sigma inputs",IF(AND(L12="Locator",OR(E12&lt;&gt;"mm",'Setup'!$D$7&lt;&gt;"mm")),"Locator units must be mm",IF(NOT(ISNUMBER(N12)),"Review coefficient","OK")))))))))</x:f>
        <x:v>OK</x:v>
      </x:c>
      <x:c r="X12" s="12" t="str">
        <x:v>Illustrative sensitivity; replace with assembly-derived value</x:v>
      </x:c>
    </x:row>
    <x:row r="13" ht="23" customHeight="1">
      <x:c r="A13" s="2" t="str">
        <x:v>SRC008</x:v>
      </x:c>
      <x:c r="B13" s="12" t="n">
        <x:v>1</x:v>
      </x:c>
      <x:c r="C13" s="12" t="str">
        <x:v>Fascia local gap feature</x:v>
      </x:c>
      <x:c r="D13" s="12" t="str">
        <x:v>Fascia manufacturing</x:v>
      </x:c>
      <x:c r="E13" s="12" t="str">
        <x:v>mm</x:v>
      </x:c>
      <x:c r="F13" s="21" t="n">
        <x:v>-0.3</x:v>
      </x:c>
      <x:c r="G13" s="21" t="n">
        <x:v>0.3</x:v>
      </x:c>
      <x:c r="H13" s="21" t="str">
        <x:v>Uniform</x:v>
      </x:c>
      <x:c r="I13" s="22" t="n">
        <x:v>3</x:v>
      </x:c>
      <x:c r="J13" s="21" t="n">
        <x:v>0</x:v>
      </x:c>
      <x:c r="K13" s="21" t="n">
        <x:v>0</x:v>
      </x:c>
      <x:c r="L13" s="12" t="str">
        <x:v>Manual</x:v>
      </x:c>
      <x:c r="M13" s="12" t="n">
        <x:v>1</x:v>
      </x:c>
      <x:c r="N13" s="17" t="n">
        <x:f>IF(B13=0,0,IF(L13="Manual",IF(ISNUMBER(M13),M13,""),IF(L13="Locator",IF(AND('Locator'!$B$22="OK",COUNTIFS('Locator'!$A$31:$A$36,A13)=1),-INDEX('Locator'!$H$31:$H$36,MATCH(A13,'Locator'!$A$31:$A$36,0)),""),IF(L13="Perturbation",IF(ISNUMBER(INDEX('Sensitivity'!$H$6:$H$65,MATCH(A13,'Sensitivity'!$A$6:$A$65,0))),INDEX('Sensitivity'!$H$6:$H$65,MATCH(A13,'Sensitivity'!$A$6:$A$65,0)),""),""))))</x:f>
        <x:v>1</x:v>
      </x:c>
      <x:c r="O13" s="17" t="n">
        <x:f>IF(B13=0,0,IF(H13="Normal",IF(AND(ISNUMBER(F13),ISNUMBER(G13),ISNUMBER(I13),I13&gt;0,G13&gt;F13),(G13-F13)/(2*I13),""),IF(H13="Uniform",IF(AND(ISNUMBER(F13),ISNUMBER(G13),G13&gt;F13),(G13-F13)/SQRT(12),""),IF(H13="Measured",IF(AND(ISNUMBER(J13),J13&gt;=0),J13,""),""))))</x:f>
        <x:v>0.17320508075688773</x:v>
      </x:c>
      <x:c r="P13" s="17" t="n">
        <x:f>IF(B13=0,0,IF(AND(ISNUMBER(N13),ISNUMBER(K13)),N13*K13,""))</x:f>
        <x:v>0</x:v>
      </x:c>
      <x:c r="Q13" s="17" t="n">
        <x:f>IF(B13=0,0,IF(AND(ISNUMBER(N13),ISNUMBER(O13)),N13*O13,""))</x:f>
        <x:v>0.17320508075688773</x:v>
      </x:c>
      <x:c r="R13" s="17" t="n">
        <x:f>IF(ISNUMBER(Q13),Q13^2,"")</x:f>
        <x:v>0.03</x:v>
      </x:c>
      <x:c r="S13" s="19" t="n">
        <x:f>IF(AND(B13=1,$B$69&gt;0,ISNUMBER(R13)),R13/$B$69,"")</x:f>
        <x:v>0.41298358451623135</x:v>
      </x:c>
      <x:c r="T13" s="20" t="n">
        <x:f>IF(AND(B13=1,ISNUMBER(R13)),COUNTIFS($R$6:$R$65,"&gt;"&amp;R13,$B$6:$B$65,1)+COUNTIFS($R$6:R13,R13,$B$6:B13,1),"")</x:f>
        <x:v>1</x:v>
      </x:c>
      <x:c r="U13" s="17" t="n">
        <x:f>IF(B13=0,0,IF(AND(ISNUMBER(N13),ISNUMBER(F13),ISNUMBER(G13)),MIN(N13*F13,N13*G13),""))</x:f>
        <x:v>-0.3</x:v>
      </x:c>
      <x:c r="V13" s="17" t="n">
        <x:f>IF(B13=0,0,IF(AND(ISNUMBER(N13),ISNUMBER(F13),ISNUMBER(G13)),MAX(N13*F13,N13*G13),""))</x:f>
        <x:v>0.3</x:v>
      </x:c>
      <x:c r="W13" s="2" t="str">
        <x:f>IF(B13=0,"OFF",IF(B13&lt;&gt;1,"Use Include 1 or 0",IF(OR(C13="",E13=""),"Enter name and unit",IF(OR(NOT(ISNUMBER(F13)),NOT(ISNUMBER(G13)),G13&lt;=F13),"Review deviation limits",IF(NOT(ISNUMBER(K13)),"Enter mean deviation",IF(AND(H13="Uniform",ABS(K13-(F13+G13)/2)&gt;0.000000001),"Uniform mean = midpoint",IF(NOT(ISNUMBER(O13)),"Review sigma inputs",IF(AND(L13="Locator",OR(E13&lt;&gt;"mm",'Setup'!$D$7&lt;&gt;"mm")),"Locator units must be mm",IF(NOT(ISNUMBER(N13)),"Review coefficient","OK")))))))))</x:f>
        <x:v>OK</x:v>
      </x:c>
      <x:c r="X13" s="12" t="str">
        <x:v>Uniform scalar range; mean equals midpoint</x:v>
      </x:c>
    </x:row>
    <x:row r="14" ht="23" customHeight="1">
      <x:c r="A14" s="2" t="str">
        <x:v>SRC009</x:v>
      </x:c>
      <x:c r="B14" s="12" t="n">
        <x:v>1</x:v>
      </x:c>
      <x:c r="C14" s="12" t="str">
        <x:v>Sensor functional offset</x:v>
      </x:c>
      <x:c r="D14" s="12" t="str">
        <x:v>Sensor manufacturing</x:v>
      </x:c>
      <x:c r="E14" s="12" t="str">
        <x:v>mm</x:v>
      </x:c>
      <x:c r="F14" s="21" t="n">
        <x:v>-0.15</x:v>
      </x:c>
      <x:c r="G14" s="21" t="n">
        <x:v>0.15</x:v>
      </x:c>
      <x:c r="H14" s="21" t="str">
        <x:v>Measured</x:v>
      </x:c>
      <x:c r="I14" s="22" t="n">
        <x:v>3</x:v>
      </x:c>
      <x:c r="J14" s="21" t="n">
        <x:v>0.04</x:v>
      </x:c>
      <x:c r="K14" s="21" t="n">
        <x:v>0.02</x:v>
      </x:c>
      <x:c r="L14" s="12" t="str">
        <x:v>Manual</x:v>
      </x:c>
      <x:c r="M14" s="12" t="n">
        <x:v>-1</x:v>
      </x:c>
      <x:c r="N14" s="17" t="n">
        <x:f>IF(B14=0,0,IF(L14="Manual",IF(ISNUMBER(M14),M14,""),IF(L14="Locator",IF(AND('Locator'!$B$22="OK",COUNTIFS('Locator'!$A$31:$A$36,A14)=1),-INDEX('Locator'!$H$31:$H$36,MATCH(A14,'Locator'!$A$31:$A$36,0)),""),IF(L14="Perturbation",IF(ISNUMBER(INDEX('Sensitivity'!$H$6:$H$65,MATCH(A14,'Sensitivity'!$A$6:$A$65,0))),INDEX('Sensitivity'!$H$6:$H$65,MATCH(A14,'Sensitivity'!$A$6:$A$65,0)),""),""))))</x:f>
        <x:v>-1</x:v>
      </x:c>
      <x:c r="O14" s="17" t="n">
        <x:f>IF(B14=0,0,IF(H14="Normal",IF(AND(ISNUMBER(F14),ISNUMBER(G14),ISNUMBER(I14),I14&gt;0,G14&gt;F14),(G14-F14)/(2*I14),""),IF(H14="Uniform",IF(AND(ISNUMBER(F14),ISNUMBER(G14),G14&gt;F14),(G14-F14)/SQRT(12),""),IF(H14="Measured",IF(AND(ISNUMBER(J14),J14&gt;=0),J14,""),""))))</x:f>
        <x:v>0.04</x:v>
      </x:c>
      <x:c r="P14" s="17" t="n">
        <x:f>IF(B14=0,0,IF(AND(ISNUMBER(N14),ISNUMBER(K14)),N14*K14,""))</x:f>
        <x:v>-0.02</x:v>
      </x:c>
      <x:c r="Q14" s="17" t="n">
        <x:f>IF(B14=0,0,IF(AND(ISNUMBER(N14),ISNUMBER(O14)),N14*O14,""))</x:f>
        <x:v>-0.04</x:v>
      </x:c>
      <x:c r="R14" s="17" t="n">
        <x:f>IF(ISNUMBER(Q14),Q14^2,"")</x:f>
        <x:v>0.0016</x:v>
      </x:c>
      <x:c r="S14" s="19" t="n">
        <x:f>IF(AND(B14=1,$B$69&gt;0,ISNUMBER(R14)),R14/$B$69,"")</x:f>
        <x:v>0.02202579117419901</x:v>
      </x:c>
      <x:c r="T14" s="20" t="n">
        <x:f>IF(AND(B14=1,ISNUMBER(R14)),COUNTIFS($R$6:$R$65,"&gt;"&amp;R14,$B$6:$B$65,1)+COUNTIFS($R$6:R14,R14,$B$6:B14,1),"")</x:f>
        <x:v>8</x:v>
      </x:c>
      <x:c r="U14" s="17" t="n">
        <x:f>IF(B14=0,0,IF(AND(ISNUMBER(N14),ISNUMBER(F14),ISNUMBER(G14)),MIN(N14*F14,N14*G14),""))</x:f>
        <x:v>-0.15</x:v>
      </x:c>
      <x:c r="V14" s="17" t="n">
        <x:f>IF(B14=0,0,IF(AND(ISNUMBER(N14),ISNUMBER(F14),ISNUMBER(G14)),MAX(N14*F14,N14*G14),""))</x:f>
        <x:v>0.15</x:v>
      </x:c>
      <x:c r="W14" s="2" t="str">
        <x:f>IF(B14=0,"OFF",IF(B14&lt;&gt;1,"Use Include 1 or 0",IF(OR(C14="",E14=""),"Enter name and unit",IF(OR(NOT(ISNUMBER(F14)),NOT(ISNUMBER(G14)),G14&lt;=F14),"Review deviation limits",IF(NOT(ISNUMBER(K14)),"Enter mean deviation",IF(AND(H14="Uniform",ABS(K14-(F14+G14)/2)&gt;0.000000001),"Uniform mean = midpoint",IF(NOT(ISNUMBER(O14)),"Review sigma inputs",IF(AND(L14="Locator",OR(E14&lt;&gt;"mm",'Setup'!$D$7&lt;&gt;"mm")),"Locator units must be mm",IF(NOT(ISNUMBER(N14)),"Review coefficient","OK")))))))))</x:f>
        <x:v>OK</x:v>
      </x:c>
      <x:c r="X14" s="12" t="str">
        <x:v>Illustrative individual-part σ; mean shift +0.02 mm</x:v>
      </x:c>
    </x:row>
    <x:row r="15" ht="23" customHeight="1">
      <x:c r="A15" s="2" t="str">
        <x:v>SRC010</x:v>
      </x:c>
      <x:c r="B15" s="12" t="n">
        <x:v>1</x:v>
      </x:c>
      <x:c r="C15" s="12" t="str">
        <x:v>Shared body reference mode</x:v>
      </x:c>
      <x:c r="D15" s="12" t="str">
        <x:v>Both branches</x:v>
      </x:c>
      <x:c r="E15" s="12" t="str">
        <x:v>mm</x:v>
      </x:c>
      <x:c r="F15" s="21" t="n">
        <x:v>-0.6</x:v>
      </x:c>
      <x:c r="G15" s="21" t="n">
        <x:v>0.6</x:v>
      </x:c>
      <x:c r="H15" s="21" t="str">
        <x:v>Normal</x:v>
      </x:c>
      <x:c r="I15" s="22" t="n">
        <x:v>3</x:v>
      </x:c>
      <x:c r="J15" s="21" t="n">
        <x:v>0</x:v>
      </x:c>
      <x:c r="K15" s="21" t="n">
        <x:v>0</x:v>
      </x:c>
      <x:c r="L15" s="12" t="str">
        <x:v>Manual</x:v>
      </x:c>
      <x:c r="M15" s="12" t="n">
        <x:v>0.1</x:v>
      </x:c>
      <x:c r="N15" s="17" t="n">
        <x:f>IF(B15=0,0,IF(L15="Manual",IF(ISNUMBER(M15),M15,""),IF(L15="Locator",IF(AND('Locator'!$B$22="OK",COUNTIFS('Locator'!$A$31:$A$36,A15)=1),-INDEX('Locator'!$H$31:$H$36,MATCH(A15,'Locator'!$A$31:$A$36,0)),""),IF(L15="Perturbation",IF(ISNUMBER(INDEX('Sensitivity'!$H$6:$H$65,MATCH(A15,'Sensitivity'!$A$6:$A$65,0))),INDEX('Sensitivity'!$H$6:$H$65,MATCH(A15,'Sensitivity'!$A$6:$A$65,0)),""),""))))</x:f>
        <x:v>0.1</x:v>
      </x:c>
      <x:c r="O15" s="17" t="n">
        <x:f>IF(B15=0,0,IF(H15="Normal",IF(AND(ISNUMBER(F15),ISNUMBER(G15),ISNUMBER(I15),I15&gt;0,G15&gt;F15),(G15-F15)/(2*I15),""),IF(H15="Uniform",IF(AND(ISNUMBER(F15),ISNUMBER(G15),G15&gt;F15),(G15-F15)/SQRT(12),""),IF(H15="Measured",IF(AND(ISNUMBER(J15),J15&gt;=0),J15,""),""))))</x:f>
        <x:v>0.19999999999999998</x:v>
      </x:c>
      <x:c r="P15" s="17" t="n">
        <x:f>IF(B15=0,0,IF(AND(ISNUMBER(N15),ISNUMBER(K15)),N15*K15,""))</x:f>
        <x:v>0</x:v>
      </x:c>
      <x:c r="Q15" s="17" t="n">
        <x:f>IF(B15=0,0,IF(AND(ISNUMBER(N15),ISNUMBER(O15)),N15*O15,""))</x:f>
        <x:v>0.02</x:v>
      </x:c>
      <x:c r="R15" s="17" t="n">
        <x:f>IF(ISNUMBER(Q15),Q15^2,"")</x:f>
        <x:v>0.0004</x:v>
      </x:c>
      <x:c r="S15" s="19" t="n">
        <x:f>IF(AND(B15=1,$B$69&gt;0,ISNUMBER(R15)),R15/$B$69,"")</x:f>
        <x:v>0.005506447793549752</x:v>
      </x:c>
      <x:c r="T15" s="20" t="n">
        <x:f>IF(AND(B15=1,ISNUMBER(R15)),COUNTIFS($R$6:$R$65,"&gt;"&amp;R15,$B$6:$B$65,1)+COUNTIFS($R$6:R15,R15,$B$6:B15,1),"")</x:f>
        <x:v>13</x:v>
      </x:c>
      <x:c r="U15" s="17" t="n">
        <x:f>IF(B15=0,0,IF(AND(ISNUMBER(N15),ISNUMBER(F15),ISNUMBER(G15)),MIN(N15*F15,N15*G15),""))</x:f>
        <x:v>-0.06</x:v>
      </x:c>
      <x:c r="V15" s="17" t="n">
        <x:f>IF(B15=0,0,IF(AND(ISNUMBER(N15),ISNUMBER(F15),ISNUMBER(G15)),MAX(N15*F15,N15*G15),""))</x:f>
        <x:v>0.06</x:v>
      </x:c>
      <x:c r="W15" s="2" t="str">
        <x:f>IF(B15=0,"OFF",IF(B15&lt;&gt;1,"Use Include 1 or 0",IF(OR(C15="",E15=""),"Enter name and unit",IF(OR(NOT(ISNUMBER(F15)),NOT(ISNUMBER(G15)),G15&lt;=F15),"Review deviation limits",IF(NOT(ISNUMBER(K15)),"Enter mean deviation",IF(AND(H15="Uniform",ABS(K15-(F15+G15)/2)&gt;0.000000001),"Uniform mean = midpoint",IF(NOT(ISNUMBER(O15)),"Review sigma inputs",IF(AND(L15="Locator",OR(E15&lt;&gt;"mm",'Setup'!$D$7&lt;&gt;"mm")),"Locator units must be mm",IF(NOT(ISNUMBER(N15)),"Review coefficient","OK")))))))))</x:f>
        <x:v>OK</x:v>
      </x:c>
      <x:c r="X15" s="12" t="str">
        <x:v>Net coefficient = fascia 0.8 - sensor 0.7. One source row.</x:v>
      </x:c>
    </x:row>
    <x:row r="16" ht="23" customHeight="1">
      <x:c r="A16" s="2" t="str">
        <x:v>SRC011</x:v>
      </x:c>
      <x:c r="B16" s="12" t="n">
        <x:v>1</x:v>
      </x:c>
      <x:c r="C16" s="12" t="str">
        <x:v>Captured fixture deviation</x:v>
      </x:c>
      <x:c r="D16" s="12" t="str">
        <x:v>Bracket fastening</x:v>
      </x:c>
      <x:c r="E16" s="12" t="str">
        <x:v>mm</x:v>
      </x:c>
      <x:c r="F16" s="21" t="n">
        <x:v>-0.24</x:v>
      </x:c>
      <x:c r="G16" s="21" t="n">
        <x:v>0.24</x:v>
      </x:c>
      <x:c r="H16" s="21" t="str">
        <x:v>Normal</x:v>
      </x:c>
      <x:c r="I16" s="22" t="n">
        <x:v>3</x:v>
      </x:c>
      <x:c r="J16" s="21" t="n">
        <x:v>0</x:v>
      </x:c>
      <x:c r="K16" s="21" t="n">
        <x:v>0</x:v>
      </x:c>
      <x:c r="L16" s="12" t="str">
        <x:v>Manual</x:v>
      </x:c>
      <x:c r="M16" s="12" t="n">
        <x:v>-0.5</x:v>
      </x:c>
      <x:c r="N16" s="17" t="n">
        <x:f>IF(B16=0,0,IF(L16="Manual",IF(ISNUMBER(M16),M16,""),IF(L16="Locator",IF(AND('Locator'!$B$22="OK",COUNTIFS('Locator'!$A$31:$A$36,A16)=1),-INDEX('Locator'!$H$31:$H$36,MATCH(A16,'Locator'!$A$31:$A$36,0)),""),IF(L16="Perturbation",IF(ISNUMBER(INDEX('Sensitivity'!$H$6:$H$65,MATCH(A16,'Sensitivity'!$A$6:$A$65,0))),INDEX('Sensitivity'!$H$6:$H$65,MATCH(A16,'Sensitivity'!$A$6:$A$65,0)),""),""))))</x:f>
        <x:v>-0.5</x:v>
      </x:c>
      <x:c r="O16" s="17" t="n">
        <x:f>IF(B16=0,0,IF(H16="Normal",IF(AND(ISNUMBER(F16),ISNUMBER(G16),ISNUMBER(I16),I16&gt;0,G16&gt;F16),(G16-F16)/(2*I16),""),IF(H16="Uniform",IF(AND(ISNUMBER(F16),ISNUMBER(G16),G16&gt;F16),(G16-F16)/SQRT(12),""),IF(H16="Measured",IF(AND(ISNUMBER(J16),J16&gt;=0),J16,""),""))))</x:f>
        <x:v>0.08</x:v>
      </x:c>
      <x:c r="P16" s="17" t="n">
        <x:f>IF(B16=0,0,IF(AND(ISNUMBER(N16),ISNUMBER(K16)),N16*K16,""))</x:f>
        <x:v>0</x:v>
      </x:c>
      <x:c r="Q16" s="17" t="n">
        <x:f>IF(B16=0,0,IF(AND(ISNUMBER(N16),ISNUMBER(O16)),N16*O16,""))</x:f>
        <x:v>-0.04</x:v>
      </x:c>
      <x:c r="R16" s="17" t="n">
        <x:f>IF(ISNUMBER(Q16),Q16^2,"")</x:f>
        <x:v>0.0016</x:v>
      </x:c>
      <x:c r="S16" s="19" t="n">
        <x:f>IF(AND(B16=1,$B$69&gt;0,ISNUMBER(R16)),R16/$B$69,"")</x:f>
        <x:v>0.02202579117419901</x:v>
      </x:c>
      <x:c r="T16" s="20" t="n">
        <x:f>IF(AND(B16=1,ISNUMBER(R16)),COUNTIFS($R$6:$R$65,"&gt;"&amp;R16,$B$6:$B$65,1)+COUNTIFS($R$6:R16,R16,$B$6:B16,1),"")</x:f>
        <x:v>9</x:v>
      </x:c>
      <x:c r="U16" s="17" t="n">
        <x:f>IF(B16=0,0,IF(AND(ISNUMBER(N16),ISNUMBER(F16),ISNUMBER(G16)),MIN(N16*F16,N16*G16),""))</x:f>
        <x:v>-0.12</x:v>
      </x:c>
      <x:c r="V16" s="17" t="n">
        <x:f>IF(B16=0,0,IF(AND(ISNUMBER(N16),ISNUMBER(F16),ISNUMBER(G16)),MAX(N16*F16,N16*G16),""))</x:f>
        <x:v>0.12</x:v>
      </x:c>
      <x:c r="W16" s="2" t="str">
        <x:f>IF(B16=0,"OFF",IF(B16&lt;&gt;1,"Use Include 1 or 0",IF(OR(C16="",E16=""),"Enter name and unit",IF(OR(NOT(ISNUMBER(F16)),NOT(ISNUMBER(G16)),G16&lt;=F16),"Review deviation limits",IF(NOT(ISNUMBER(K16)),"Enter mean deviation",IF(AND(H16="Uniform",ABS(K16-(F16+G16)/2)&gt;0.000000001),"Uniform mean = midpoint",IF(NOT(ISNUMBER(O16)),"Review sigma inputs",IF(AND(L16="Locator",OR(E16&lt;&gt;"mm",'Setup'!$D$7&lt;&gt;"mm")),"Locator units must be mm",IF(NOT(ISNUMBER(N16)),"Review coefficient","OK")))))))))</x:f>
        <x:v>OK</x:v>
      </x:c>
      <x:c r="X16" s="12" t="str">
        <x:v>Illustrative capture effect; avoid overlap with locator sources</x:v>
      </x:c>
    </x:row>
    <x:row r="17" ht="23" customHeight="1">
      <x:c r="A17" s="2" t="str">
        <x:v>SRC012</x:v>
      </x:c>
      <x:c r="B17" s="12" t="n">
        <x:v>1</x:v>
      </x:c>
      <x:c r="C17" s="12" t="str">
        <x:v>Independent angular mode</x:v>
      </x:c>
      <x:c r="D17" s="12" t="str">
        <x:v>Sensor mounting</x:v>
      </x:c>
      <x:c r="E17" s="12" t="str">
        <x:v>deg</x:v>
      </x:c>
      <x:c r="F17" s="21" t="n">
        <x:v>-0.3</x:v>
      </x:c>
      <x:c r="G17" s="21" t="n">
        <x:v>0.3</x:v>
      </x:c>
      <x:c r="H17" s="21" t="str">
        <x:v>Normal</x:v>
      </x:c>
      <x:c r="I17" s="22" t="n">
        <x:v>3</x:v>
      </x:c>
      <x:c r="J17" s="21" t="n">
        <x:v>0</x:v>
      </x:c>
      <x:c r="K17" s="21" t="n">
        <x:v>0</x:v>
      </x:c>
      <x:c r="L17" s="12" t="str">
        <x:v>Manual</x:v>
      </x:c>
      <x:c r="M17" s="12" t="n">
        <x:v>0.3</x:v>
      </x:c>
      <x:c r="N17" s="17" t="n">
        <x:f>IF(B17=0,0,IF(L17="Manual",IF(ISNUMBER(M17),M17,""),IF(L17="Locator",IF(AND('Locator'!$B$22="OK",COUNTIFS('Locator'!$A$31:$A$36,A17)=1),-INDEX('Locator'!$H$31:$H$36,MATCH(A17,'Locator'!$A$31:$A$36,0)),""),IF(L17="Perturbation",IF(ISNUMBER(INDEX('Sensitivity'!$H$6:$H$65,MATCH(A17,'Sensitivity'!$A$6:$A$65,0))),INDEX('Sensitivity'!$H$6:$H$65,MATCH(A17,'Sensitivity'!$A$6:$A$65,0)),""),""))))</x:f>
        <x:v>0.3</x:v>
      </x:c>
      <x:c r="O17" s="17" t="n">
        <x:f>IF(B17=0,0,IF(H17="Normal",IF(AND(ISNUMBER(F17),ISNUMBER(G17),ISNUMBER(I17),I17&gt;0,G17&gt;F17),(G17-F17)/(2*I17),""),IF(H17="Uniform",IF(AND(ISNUMBER(F17),ISNUMBER(G17),G17&gt;F17),(G17-F17)/SQRT(12),""),IF(H17="Measured",IF(AND(ISNUMBER(J17),J17&gt;=0),J17,""),""))))</x:f>
        <x:v>0.09999999999999999</x:v>
      </x:c>
      <x:c r="P17" s="17" t="n">
        <x:f>IF(B17=0,0,IF(AND(ISNUMBER(N17),ISNUMBER(K17)),N17*K17,""))</x:f>
        <x:v>0</x:v>
      </x:c>
      <x:c r="Q17" s="17" t="n">
        <x:f>IF(B17=0,0,IF(AND(ISNUMBER(N17),ISNUMBER(O17)),N17*O17,""))</x:f>
        <x:v>0.029999999999999995</x:v>
      </x:c>
      <x:c r="R17" s="17" t="n">
        <x:f>IF(ISNUMBER(Q17),Q17^2,"")</x:f>
        <x:v>0.0008999999999999998</x:v>
      </x:c>
      <x:c r="S17" s="19" t="n">
        <x:f>IF(AND(B17=1,$B$69&gt;0,ISNUMBER(R17)),R17/$B$69,"")</x:f>
        <x:v>0.012389507535486937</x:v>
      </x:c>
      <x:c r="T17" s="20" t="n">
        <x:f>IF(AND(B17=1,ISNUMBER(R17)),COUNTIFS($R$6:$R$65,"&gt;"&amp;R17,$B$6:$B$65,1)+COUNTIFS($R$6:R17,R17,$B$6:B17,1),"")</x:f>
        <x:v>10</x:v>
      </x:c>
      <x:c r="U17" s="17" t="n">
        <x:f>IF(B17=0,0,IF(AND(ISNUMBER(N17),ISNUMBER(F17),ISNUMBER(G17)),MIN(N17*F17,N17*G17),""))</x:f>
        <x:v>-0.09</x:v>
      </x:c>
      <x:c r="V17" s="17" t="n">
        <x:f>IF(B17=0,0,IF(AND(ISNUMBER(N17),ISNUMBER(F17),ISNUMBER(G17)),MAX(N17*F17,N17*G17),""))</x:f>
        <x:v>0.09</x:v>
      </x:c>
      <x:c r="W17" s="2" t="str">
        <x:f>IF(B17=0,"OFF",IF(B17&lt;&gt;1,"Use Include 1 or 0",IF(OR(C17="",E17=""),"Enter name and unit",IF(OR(NOT(ISNUMBER(F17)),NOT(ISNUMBER(G17)),G17&lt;=F17),"Review deviation limits",IF(NOT(ISNUMBER(K17)),"Enter mean deviation",IF(AND(H17="Uniform",ABS(K17-(F17+G17)/2)&gt;0.000000001),"Uniform mean = midpoint",IF(NOT(ISNUMBER(O17)),"Review sigma inputs",IF(AND(L17="Locator",OR(E17&lt;&gt;"mm",'Setup'!$D$7&lt;&gt;"mm")),"Locator units must be mm",IF(NOT(ISNUMBER(N17)),"Review coefficient","OK")))))))))</x:f>
        <x:v>OK</x:v>
      </x:c>
      <x:c r="X17" s="12" t="str">
        <x:v>Illustrative coefficient 0.3 mm/deg; do not duplicate pad-derived rotation</x:v>
      </x:c>
    </x:row>
    <x:row r="18" ht="23" customHeight="1">
      <x:c r="A18" s="2" t="str">
        <x:v>SRC013</x:v>
      </x:c>
      <x:c r="B18" s="12" t="n">
        <x:v>1</x:v>
      </x:c>
      <x:c r="C18" s="12" t="str">
        <x:v>Other assembly source</x:v>
      </x:c>
      <x:c r="D18" s="12" t="str">
        <x:v>Additional assembly</x:v>
      </x:c>
      <x:c r="E18" s="12" t="str">
        <x:v>mm</x:v>
      </x:c>
      <x:c r="F18" s="21" t="n">
        <x:v>-0.3</x:v>
      </x:c>
      <x:c r="G18" s="21" t="n">
        <x:v>0.3</x:v>
      </x:c>
      <x:c r="H18" s="21" t="str">
        <x:v>Normal</x:v>
      </x:c>
      <x:c r="I18" s="22" t="n">
        <x:v>3</x:v>
      </x:c>
      <x:c r="J18" s="21" t="n">
        <x:v>0</x:v>
      </x:c>
      <x:c r="K18" s="21" t="n">
        <x:v>0</x:v>
      </x:c>
      <x:c r="L18" s="12" t="str">
        <x:v>Perturbation</x:v>
      </x:c>
      <x:c r="M18" s="12" t="n">
        <x:v>0</x:v>
      </x:c>
      <x:c r="N18" s="17" t="n">
        <x:f>IF(B18=0,0,IF(L18="Manual",IF(ISNUMBER(M18),M18,""),IF(L18="Locator",IF(AND('Locator'!$B$22="OK",COUNTIFS('Locator'!$A$31:$A$36,A18)=1),-INDEX('Locator'!$H$31:$H$36,MATCH(A18,'Locator'!$A$31:$A$36,0)),""),IF(L18="Perturbation",IF(ISNUMBER(INDEX('Sensitivity'!$H$6:$H$65,MATCH(A18,'Sensitivity'!$A$6:$A$65,0))),INDEX('Sensitivity'!$H$6:$H$65,MATCH(A18,'Sensitivity'!$A$6:$A$65,0)),""),""))))</x:f>
        <x:v>0.6000000000000005</x:v>
      </x:c>
      <x:c r="O18" s="17" t="n">
        <x:f>IF(B18=0,0,IF(H18="Normal",IF(AND(ISNUMBER(F18),ISNUMBER(G18),ISNUMBER(I18),I18&gt;0,G18&gt;F18),(G18-F18)/(2*I18),""),IF(H18="Uniform",IF(AND(ISNUMBER(F18),ISNUMBER(G18),G18&gt;F18),(G18-F18)/SQRT(12),""),IF(H18="Measured",IF(AND(ISNUMBER(J18),J18&gt;=0),J18,""),""))))</x:f>
        <x:v>0.09999999999999999</x:v>
      </x:c>
      <x:c r="P18" s="17" t="n">
        <x:f>IF(B18=0,0,IF(AND(ISNUMBER(N18),ISNUMBER(K18)),N18*K18,""))</x:f>
        <x:v>0</x:v>
      </x:c>
      <x:c r="Q18" s="17" t="n">
        <x:f>IF(B18=0,0,IF(AND(ISNUMBER(N18),ISNUMBER(O18)),N18*O18,""))</x:f>
        <x:v>0.060000000000000046</x:v>
      </x:c>
      <x:c r="R18" s="17" t="n">
        <x:f>IF(ISNUMBER(Q18),Q18^2,"")</x:f>
        <x:v>0.0036000000000000055</x:v>
      </x:c>
      <x:c r="S18" s="19" t="n">
        <x:f>IF(AND(B18=1,$B$69&gt;0,ISNUMBER(R18)),R18/$B$69,"")</x:f>
        <x:v>0.04955803014194784</x:v>
      </x:c>
      <x:c r="T18" s="20" t="n">
        <x:f>IF(AND(B18=1,ISNUMBER(R18)),COUNTIFS($R$6:$R$65,"&gt;"&amp;R18,$B$6:$B$65,1)+COUNTIFS($R$6:R18,R18,$B$6:B18,1),"")</x:f>
        <x:v>6</x:v>
      </x:c>
      <x:c r="U18" s="17" t="n">
        <x:f>IF(B18=0,0,IF(AND(ISNUMBER(N18),ISNUMBER(F18),ISNUMBER(G18)),MIN(N18*F18,N18*G18),""))</x:f>
        <x:v>-0.18000000000000016</x:v>
      </x:c>
      <x:c r="V18" s="17" t="n">
        <x:f>IF(B18=0,0,IF(AND(ISNUMBER(N18),ISNUMBER(F18),ISNUMBER(G18)),MAX(N18*F18,N18*G18),""))</x:f>
        <x:v>0.18000000000000016</x:v>
      </x:c>
      <x:c r="W18" s="2" t="str">
        <x:f>IF(B18=0,"OFF",IF(B18&lt;&gt;1,"Use Include 1 or 0",IF(OR(C18="",E18=""),"Enter name and unit",IF(OR(NOT(ISNUMBER(F18)),NOT(ISNUMBER(G18)),G18&lt;=F18),"Review deviation limits",IF(NOT(ISNUMBER(K18)),"Enter mean deviation",IF(AND(H18="Uniform",ABS(K18-(F18+G18)/2)&gt;0.000000001),"Uniform mean = midpoint",IF(NOT(ISNUMBER(O18)),"Review sigma inputs",IF(AND(L18="Locator",OR(E18&lt;&gt;"mm",'Setup'!$D$7&lt;&gt;"mm")),"Locator units must be mm",IF(NOT(ISNUMBER(N18)),"Review coefficient","OK")))))))))</x:f>
        <x:v>OK</x:v>
      </x:c>
      <x:c r="X18" s="12" t="str">
        <x:v>From reassembled ±0.1 mm perturbations; c = +0.6</x:v>
      </x:c>
    </x:row>
    <x:row r="19" ht="23" customHeight="1">
      <x:c r="A19" s="2" t="str">
        <x:v>SRC014</x:v>
      </x:c>
      <x:c r="B19" s="12" t="n">
        <x:v>0</x:v>
      </x:c>
      <x:c r="C19" s="12" t="str"/>
      <x:c r="D19" s="12" t="str"/>
      <x:c r="E19" s="12" t="str">
        <x:v>mm</x:v>
      </x:c>
      <x:c r="F19" s="21" t="n">
        <x:v>-0.3</x:v>
      </x:c>
      <x:c r="G19" s="21" t="n">
        <x:v>0.3</x:v>
      </x:c>
      <x:c r="H19" s="21" t="str">
        <x:v>Normal</x:v>
      </x:c>
      <x:c r="I19" s="22" t="n">
        <x:v>3</x:v>
      </x:c>
      <x:c r="J19" s="21" t="n">
        <x:v>0</x:v>
      </x:c>
      <x:c r="K19" s="21" t="n">
        <x:v>0</x:v>
      </x:c>
      <x:c r="L19" s="12" t="str">
        <x:v>Manual</x:v>
      </x:c>
      <x:c r="M19" s="12" t="n">
        <x:v>0</x:v>
      </x:c>
      <x:c r="N19" s="17" t="n">
        <x:f>IF(B19=0,0,IF(L19="Manual",IF(ISNUMBER(M19),M19,""),IF(L19="Locator",IF(AND('Locator'!$B$22="OK",COUNTIFS('Locator'!$A$31:$A$36,A19)=1),-INDEX('Locator'!$H$31:$H$36,MATCH(A19,'Locator'!$A$31:$A$36,0)),""),IF(L19="Perturbation",IF(ISNUMBER(INDEX('Sensitivity'!$H$6:$H$65,MATCH(A19,'Sensitivity'!$A$6:$A$65,0))),INDEX('Sensitivity'!$H$6:$H$65,MATCH(A19,'Sensitivity'!$A$6:$A$65,0)),""),""))))</x:f>
        <x:v>0</x:v>
      </x:c>
      <x:c r="O19" s="17" t="n">
        <x:f>IF(B19=0,0,IF(H19="Normal",IF(AND(ISNUMBER(F19),ISNUMBER(G19),ISNUMBER(I19),I19&gt;0,G19&gt;F19),(G19-F19)/(2*I19),""),IF(H19="Uniform",IF(AND(ISNUMBER(F19),ISNUMBER(G19),G19&gt;F19),(G19-F19)/SQRT(12),""),IF(H19="Measured",IF(AND(ISNUMBER(J19),J19&gt;=0),J19,""),""))))</x:f>
        <x:v>0</x:v>
      </x:c>
      <x:c r="P19" s="17" t="n">
        <x:f>IF(B19=0,0,IF(AND(ISNUMBER(N19),ISNUMBER(K19)),N19*K19,""))</x:f>
        <x:v>0</x:v>
      </x:c>
      <x:c r="Q19" s="17" t="n">
        <x:f>IF(B19=0,0,IF(AND(ISNUMBER(N19),ISNUMBER(O19)),N19*O19,""))</x:f>
        <x:v>0</x:v>
      </x:c>
      <x:c r="R19" s="17" t="n">
        <x:f>IF(ISNUMBER(Q19),Q19^2,"")</x:f>
        <x:v>0</x:v>
      </x:c>
      <x:c r="S19" s="19" t="str">
        <x:f>IF(AND(B19=1,$B$69&gt;0,ISNUMBER(R19)),R19/$B$69,"")</x:f>
      </x:c>
      <x:c r="T19" s="20" t="str">
        <x:f>IF(AND(B19=1,ISNUMBER(R19)),COUNTIFS($R$6:$R$65,"&gt;"&amp;R19,$B$6:$B$65,1)+COUNTIFS($R$6:R19,R19,$B$6:B19,1),"")</x:f>
      </x:c>
      <x:c r="U19" s="17" t="n">
        <x:f>IF(B19=0,0,IF(AND(ISNUMBER(N19),ISNUMBER(F19),ISNUMBER(G19)),MIN(N19*F19,N19*G19),""))</x:f>
        <x:v>0</x:v>
      </x:c>
      <x:c r="V19" s="17" t="n">
        <x:f>IF(B19=0,0,IF(AND(ISNUMBER(N19),ISNUMBER(F19),ISNUMBER(G19)),MAX(N19*F19,N19*G19),""))</x:f>
        <x:v>0</x:v>
      </x:c>
      <x:c r="W19" s="2" t="str">
        <x:f>IF(B19=0,"OFF",IF(B19&lt;&gt;1,"Use Include 1 or 0",IF(OR(C19="",E19=""),"Enter name and unit",IF(OR(NOT(ISNUMBER(F19)),NOT(ISNUMBER(G19)),G19&lt;=F19),"Review deviation limits",IF(NOT(ISNUMBER(K19)),"Enter mean deviation",IF(AND(H19="Uniform",ABS(K19-(F19+G19)/2)&gt;0.000000001),"Uniform mean = midpoint",IF(NOT(ISNUMBER(O19)),"Review sigma inputs",IF(AND(L19="Locator",OR(E19&lt;&gt;"mm",'Setup'!$D$7&lt;&gt;"mm")),"Locator units must be mm",IF(NOT(ISNUMBER(N19)),"Review coefficient","OK")))))))))</x:f>
        <x:v>OFF</x:v>
      </x:c>
      <x:c r="X19" s="12"/>
    </x:row>
    <x:row r="20" ht="23" customHeight="1">
      <x:c r="A20" s="2" t="str">
        <x:v>SRC015</x:v>
      </x:c>
      <x:c r="B20" s="12" t="n">
        <x:v>0</x:v>
      </x:c>
      <x:c r="C20" s="12" t="str"/>
      <x:c r="D20" s="12" t="str"/>
      <x:c r="E20" s="12" t="str">
        <x:v>mm</x:v>
      </x:c>
      <x:c r="F20" s="21" t="n">
        <x:v>-0.3</x:v>
      </x:c>
      <x:c r="G20" s="21" t="n">
        <x:v>0.3</x:v>
      </x:c>
      <x:c r="H20" s="21" t="str">
        <x:v>Normal</x:v>
      </x:c>
      <x:c r="I20" s="22" t="n">
        <x:v>3</x:v>
      </x:c>
      <x:c r="J20" s="21" t="n">
        <x:v>0</x:v>
      </x:c>
      <x:c r="K20" s="21" t="n">
        <x:v>0</x:v>
      </x:c>
      <x:c r="L20" s="12" t="str">
        <x:v>Manual</x:v>
      </x:c>
      <x:c r="M20" s="12" t="n">
        <x:v>0</x:v>
      </x:c>
      <x:c r="N20" s="17" t="n">
        <x:f>IF(B20=0,0,IF(L20="Manual",IF(ISNUMBER(M20),M20,""),IF(L20="Locator",IF(AND('Locator'!$B$22="OK",COUNTIFS('Locator'!$A$31:$A$36,A20)=1),-INDEX('Locator'!$H$31:$H$36,MATCH(A20,'Locator'!$A$31:$A$36,0)),""),IF(L20="Perturbation",IF(ISNUMBER(INDEX('Sensitivity'!$H$6:$H$65,MATCH(A20,'Sensitivity'!$A$6:$A$65,0))),INDEX('Sensitivity'!$H$6:$H$65,MATCH(A20,'Sensitivity'!$A$6:$A$65,0)),""),""))))</x:f>
        <x:v>0</x:v>
      </x:c>
      <x:c r="O20" s="17" t="n">
        <x:f>IF(B20=0,0,IF(H20="Normal",IF(AND(ISNUMBER(F20),ISNUMBER(G20),ISNUMBER(I20),I20&gt;0,G20&gt;F20),(G20-F20)/(2*I20),""),IF(H20="Uniform",IF(AND(ISNUMBER(F20),ISNUMBER(G20),G20&gt;F20),(G20-F20)/SQRT(12),""),IF(H20="Measured",IF(AND(ISNUMBER(J20),J20&gt;=0),J20,""),""))))</x:f>
        <x:v>0</x:v>
      </x:c>
      <x:c r="P20" s="17" t="n">
        <x:f>IF(B20=0,0,IF(AND(ISNUMBER(N20),ISNUMBER(K20)),N20*K20,""))</x:f>
        <x:v>0</x:v>
      </x:c>
      <x:c r="Q20" s="17" t="n">
        <x:f>IF(B20=0,0,IF(AND(ISNUMBER(N20),ISNUMBER(O20)),N20*O20,""))</x:f>
        <x:v>0</x:v>
      </x:c>
      <x:c r="R20" s="17" t="n">
        <x:f>IF(ISNUMBER(Q20),Q20^2,"")</x:f>
        <x:v>0</x:v>
      </x:c>
      <x:c r="S20" s="19" t="str">
        <x:f>IF(AND(B20=1,$B$69&gt;0,ISNUMBER(R20)),R20/$B$69,"")</x:f>
      </x:c>
      <x:c r="T20" s="20" t="str">
        <x:f>IF(AND(B20=1,ISNUMBER(R20)),COUNTIFS($R$6:$R$65,"&gt;"&amp;R20,$B$6:$B$65,1)+COUNTIFS($R$6:R20,R20,$B$6:B20,1),"")</x:f>
      </x:c>
      <x:c r="U20" s="17" t="n">
        <x:f>IF(B20=0,0,IF(AND(ISNUMBER(N20),ISNUMBER(F20),ISNUMBER(G20)),MIN(N20*F20,N20*G20),""))</x:f>
        <x:v>0</x:v>
      </x:c>
      <x:c r="V20" s="17" t="n">
        <x:f>IF(B20=0,0,IF(AND(ISNUMBER(N20),ISNUMBER(F20),ISNUMBER(G20)),MAX(N20*F20,N20*G20),""))</x:f>
        <x:v>0</x:v>
      </x:c>
      <x:c r="W20" s="2" t="str">
        <x:f>IF(B20=0,"OFF",IF(B20&lt;&gt;1,"Use Include 1 or 0",IF(OR(C20="",E20=""),"Enter name and unit",IF(OR(NOT(ISNUMBER(F20)),NOT(ISNUMBER(G20)),G20&lt;=F20),"Review deviation limits",IF(NOT(ISNUMBER(K20)),"Enter mean deviation",IF(AND(H20="Uniform",ABS(K20-(F20+G20)/2)&gt;0.000000001),"Uniform mean = midpoint",IF(NOT(ISNUMBER(O20)),"Review sigma inputs",IF(AND(L20="Locator",OR(E20&lt;&gt;"mm",'Setup'!$D$7&lt;&gt;"mm")),"Locator units must be mm",IF(NOT(ISNUMBER(N20)),"Review coefficient","OK")))))))))</x:f>
        <x:v>OFF</x:v>
      </x:c>
      <x:c r="X20" s="12"/>
    </x:row>
    <x:row r="21" ht="23" customHeight="1">
      <x:c r="A21" s="2" t="str">
        <x:v>SRC016</x:v>
      </x:c>
      <x:c r="B21" s="12" t="n">
        <x:v>0</x:v>
      </x:c>
      <x:c r="C21" s="12" t="str"/>
      <x:c r="D21" s="12" t="str"/>
      <x:c r="E21" s="12" t="str">
        <x:v>mm</x:v>
      </x:c>
      <x:c r="F21" s="21" t="n">
        <x:v>-0.3</x:v>
      </x:c>
      <x:c r="G21" s="21" t="n">
        <x:v>0.3</x:v>
      </x:c>
      <x:c r="H21" s="21" t="str">
        <x:v>Normal</x:v>
      </x:c>
      <x:c r="I21" s="22" t="n">
        <x:v>3</x:v>
      </x:c>
      <x:c r="J21" s="21" t="n">
        <x:v>0</x:v>
      </x:c>
      <x:c r="K21" s="21" t="n">
        <x:v>0</x:v>
      </x:c>
      <x:c r="L21" s="12" t="str">
        <x:v>Manual</x:v>
      </x:c>
      <x:c r="M21" s="12" t="n">
        <x:v>0</x:v>
      </x:c>
      <x:c r="N21" s="17" t="n">
        <x:f>IF(B21=0,0,IF(L21="Manual",IF(ISNUMBER(M21),M21,""),IF(L21="Locator",IF(AND('Locator'!$B$22="OK",COUNTIFS('Locator'!$A$31:$A$36,A21)=1),-INDEX('Locator'!$H$31:$H$36,MATCH(A21,'Locator'!$A$31:$A$36,0)),""),IF(L21="Perturbation",IF(ISNUMBER(INDEX('Sensitivity'!$H$6:$H$65,MATCH(A21,'Sensitivity'!$A$6:$A$65,0))),INDEX('Sensitivity'!$H$6:$H$65,MATCH(A21,'Sensitivity'!$A$6:$A$65,0)),""),""))))</x:f>
        <x:v>0</x:v>
      </x:c>
      <x:c r="O21" s="17" t="n">
        <x:f>IF(B21=0,0,IF(H21="Normal",IF(AND(ISNUMBER(F21),ISNUMBER(G21),ISNUMBER(I21),I21&gt;0,G21&gt;F21),(G21-F21)/(2*I21),""),IF(H21="Uniform",IF(AND(ISNUMBER(F21),ISNUMBER(G21),G21&gt;F21),(G21-F21)/SQRT(12),""),IF(H21="Measured",IF(AND(ISNUMBER(J21),J21&gt;=0),J21,""),""))))</x:f>
        <x:v>0</x:v>
      </x:c>
      <x:c r="P21" s="17" t="n">
        <x:f>IF(B21=0,0,IF(AND(ISNUMBER(N21),ISNUMBER(K21)),N21*K21,""))</x:f>
        <x:v>0</x:v>
      </x:c>
      <x:c r="Q21" s="17" t="n">
        <x:f>IF(B21=0,0,IF(AND(ISNUMBER(N21),ISNUMBER(O21)),N21*O21,""))</x:f>
        <x:v>0</x:v>
      </x:c>
      <x:c r="R21" s="17" t="n">
        <x:f>IF(ISNUMBER(Q21),Q21^2,"")</x:f>
        <x:v>0</x:v>
      </x:c>
      <x:c r="S21" s="19" t="str">
        <x:f>IF(AND(B21=1,$B$69&gt;0,ISNUMBER(R21)),R21/$B$69,"")</x:f>
      </x:c>
      <x:c r="T21" s="20" t="str">
        <x:f>IF(AND(B21=1,ISNUMBER(R21)),COUNTIFS($R$6:$R$65,"&gt;"&amp;R21,$B$6:$B$65,1)+COUNTIFS($R$6:R21,R21,$B$6:B21,1),"")</x:f>
      </x:c>
      <x:c r="U21" s="17" t="n">
        <x:f>IF(B21=0,0,IF(AND(ISNUMBER(N21),ISNUMBER(F21),ISNUMBER(G21)),MIN(N21*F21,N21*G21),""))</x:f>
        <x:v>0</x:v>
      </x:c>
      <x:c r="V21" s="17" t="n">
        <x:f>IF(B21=0,0,IF(AND(ISNUMBER(N21),ISNUMBER(F21),ISNUMBER(G21)),MAX(N21*F21,N21*G21),""))</x:f>
        <x:v>0</x:v>
      </x:c>
      <x:c r="W21" s="2" t="str">
        <x:f>IF(B21=0,"OFF",IF(B21&lt;&gt;1,"Use Include 1 or 0",IF(OR(C21="",E21=""),"Enter name and unit",IF(OR(NOT(ISNUMBER(F21)),NOT(ISNUMBER(G21)),G21&lt;=F21),"Review deviation limits",IF(NOT(ISNUMBER(K21)),"Enter mean deviation",IF(AND(H21="Uniform",ABS(K21-(F21+G21)/2)&gt;0.000000001),"Uniform mean = midpoint",IF(NOT(ISNUMBER(O21)),"Review sigma inputs",IF(AND(L21="Locator",OR(E21&lt;&gt;"mm",'Setup'!$D$7&lt;&gt;"mm")),"Locator units must be mm",IF(NOT(ISNUMBER(N21)),"Review coefficient","OK")))))))))</x:f>
        <x:v>OFF</x:v>
      </x:c>
      <x:c r="X21" s="12"/>
    </x:row>
    <x:row r="22" ht="23" customHeight="1">
      <x:c r="A22" s="2" t="str">
        <x:v>SRC017</x:v>
      </x:c>
      <x:c r="B22" s="12" t="n">
        <x:v>0</x:v>
      </x:c>
      <x:c r="C22" s="12" t="str"/>
      <x:c r="D22" s="12" t="str"/>
      <x:c r="E22" s="12" t="str">
        <x:v>mm</x:v>
      </x:c>
      <x:c r="F22" s="21" t="n">
        <x:v>-0.3</x:v>
      </x:c>
      <x:c r="G22" s="21" t="n">
        <x:v>0.3</x:v>
      </x:c>
      <x:c r="H22" s="21" t="str">
        <x:v>Normal</x:v>
      </x:c>
      <x:c r="I22" s="22" t="n">
        <x:v>3</x:v>
      </x:c>
      <x:c r="J22" s="21" t="n">
        <x:v>0</x:v>
      </x:c>
      <x:c r="K22" s="21" t="n">
        <x:v>0</x:v>
      </x:c>
      <x:c r="L22" s="12" t="str">
        <x:v>Manual</x:v>
      </x:c>
      <x:c r="M22" s="12" t="n">
        <x:v>0</x:v>
      </x:c>
      <x:c r="N22" s="17" t="n">
        <x:f>IF(B22=0,0,IF(L22="Manual",IF(ISNUMBER(M22),M22,""),IF(L22="Locator",IF(AND('Locator'!$B$22="OK",COUNTIFS('Locator'!$A$31:$A$36,A22)=1),-INDEX('Locator'!$H$31:$H$36,MATCH(A22,'Locator'!$A$31:$A$36,0)),""),IF(L22="Perturbation",IF(ISNUMBER(INDEX('Sensitivity'!$H$6:$H$65,MATCH(A22,'Sensitivity'!$A$6:$A$65,0))),INDEX('Sensitivity'!$H$6:$H$65,MATCH(A22,'Sensitivity'!$A$6:$A$65,0)),""),""))))</x:f>
        <x:v>0</x:v>
      </x:c>
      <x:c r="O22" s="17" t="n">
        <x:f>IF(B22=0,0,IF(H22="Normal",IF(AND(ISNUMBER(F22),ISNUMBER(G22),ISNUMBER(I22),I22&gt;0,G22&gt;F22),(G22-F22)/(2*I22),""),IF(H22="Uniform",IF(AND(ISNUMBER(F22),ISNUMBER(G22),G22&gt;F22),(G22-F22)/SQRT(12),""),IF(H22="Measured",IF(AND(ISNUMBER(J22),J22&gt;=0),J22,""),""))))</x:f>
        <x:v>0</x:v>
      </x:c>
      <x:c r="P22" s="17" t="n">
        <x:f>IF(B22=0,0,IF(AND(ISNUMBER(N22),ISNUMBER(K22)),N22*K22,""))</x:f>
        <x:v>0</x:v>
      </x:c>
      <x:c r="Q22" s="17" t="n">
        <x:f>IF(B22=0,0,IF(AND(ISNUMBER(N22),ISNUMBER(O22)),N22*O22,""))</x:f>
        <x:v>0</x:v>
      </x:c>
      <x:c r="R22" s="17" t="n">
        <x:f>IF(ISNUMBER(Q22),Q22^2,"")</x:f>
        <x:v>0</x:v>
      </x:c>
      <x:c r="S22" s="19" t="str">
        <x:f>IF(AND(B22=1,$B$69&gt;0,ISNUMBER(R22)),R22/$B$69,"")</x:f>
      </x:c>
      <x:c r="T22" s="20" t="str">
        <x:f>IF(AND(B22=1,ISNUMBER(R22)),COUNTIFS($R$6:$R$65,"&gt;"&amp;R22,$B$6:$B$65,1)+COUNTIFS($R$6:R22,R22,$B$6:B22,1),"")</x:f>
      </x:c>
      <x:c r="U22" s="17" t="n">
        <x:f>IF(B22=0,0,IF(AND(ISNUMBER(N22),ISNUMBER(F22),ISNUMBER(G22)),MIN(N22*F22,N22*G22),""))</x:f>
        <x:v>0</x:v>
      </x:c>
      <x:c r="V22" s="17" t="n">
        <x:f>IF(B22=0,0,IF(AND(ISNUMBER(N22),ISNUMBER(F22),ISNUMBER(G22)),MAX(N22*F22,N22*G22),""))</x:f>
        <x:v>0</x:v>
      </x:c>
      <x:c r="W22" s="2" t="str">
        <x:f>IF(B22=0,"OFF",IF(B22&lt;&gt;1,"Use Include 1 or 0",IF(OR(C22="",E22=""),"Enter name and unit",IF(OR(NOT(ISNUMBER(F22)),NOT(ISNUMBER(G22)),G22&lt;=F22),"Review deviation limits",IF(NOT(ISNUMBER(K22)),"Enter mean deviation",IF(AND(H22="Uniform",ABS(K22-(F22+G22)/2)&gt;0.000000001),"Uniform mean = midpoint",IF(NOT(ISNUMBER(O22)),"Review sigma inputs",IF(AND(L22="Locator",OR(E22&lt;&gt;"mm",'Setup'!$D$7&lt;&gt;"mm")),"Locator units must be mm",IF(NOT(ISNUMBER(N22)),"Review coefficient","OK")))))))))</x:f>
        <x:v>OFF</x:v>
      </x:c>
      <x:c r="X22" s="12"/>
    </x:row>
    <x:row r="23" ht="23" customHeight="1">
      <x:c r="A23" s="2" t="str">
        <x:v>SRC018</x:v>
      </x:c>
      <x:c r="B23" s="12" t="n">
        <x:v>0</x:v>
      </x:c>
      <x:c r="C23" s="12" t="str"/>
      <x:c r="D23" s="12" t="str"/>
      <x:c r="E23" s="12" t="str">
        <x:v>mm</x:v>
      </x:c>
      <x:c r="F23" s="21" t="n">
        <x:v>-0.3</x:v>
      </x:c>
      <x:c r="G23" s="21" t="n">
        <x:v>0.3</x:v>
      </x:c>
      <x:c r="H23" s="21" t="str">
        <x:v>Normal</x:v>
      </x:c>
      <x:c r="I23" s="22" t="n">
        <x:v>3</x:v>
      </x:c>
      <x:c r="J23" s="21" t="n">
        <x:v>0</x:v>
      </x:c>
      <x:c r="K23" s="21" t="n">
        <x:v>0</x:v>
      </x:c>
      <x:c r="L23" s="12" t="str">
        <x:v>Manual</x:v>
      </x:c>
      <x:c r="M23" s="12" t="n">
        <x:v>0</x:v>
      </x:c>
      <x:c r="N23" s="17" t="n">
        <x:f>IF(B23=0,0,IF(L23="Manual",IF(ISNUMBER(M23),M23,""),IF(L23="Locator",IF(AND('Locator'!$B$22="OK",COUNTIFS('Locator'!$A$31:$A$36,A23)=1),-INDEX('Locator'!$H$31:$H$36,MATCH(A23,'Locator'!$A$31:$A$36,0)),""),IF(L23="Perturbation",IF(ISNUMBER(INDEX('Sensitivity'!$H$6:$H$65,MATCH(A23,'Sensitivity'!$A$6:$A$65,0))),INDEX('Sensitivity'!$H$6:$H$65,MATCH(A23,'Sensitivity'!$A$6:$A$65,0)),""),""))))</x:f>
        <x:v>0</x:v>
      </x:c>
      <x:c r="O23" s="17" t="n">
        <x:f>IF(B23=0,0,IF(H23="Normal",IF(AND(ISNUMBER(F23),ISNUMBER(G23),ISNUMBER(I23),I23&gt;0,G23&gt;F23),(G23-F23)/(2*I23),""),IF(H23="Uniform",IF(AND(ISNUMBER(F23),ISNUMBER(G23),G23&gt;F23),(G23-F23)/SQRT(12),""),IF(H23="Measured",IF(AND(ISNUMBER(J23),J23&gt;=0),J23,""),""))))</x:f>
        <x:v>0</x:v>
      </x:c>
      <x:c r="P23" s="17" t="n">
        <x:f>IF(B23=0,0,IF(AND(ISNUMBER(N23),ISNUMBER(K23)),N23*K23,""))</x:f>
        <x:v>0</x:v>
      </x:c>
      <x:c r="Q23" s="17" t="n">
        <x:f>IF(B23=0,0,IF(AND(ISNUMBER(N23),ISNUMBER(O23)),N23*O23,""))</x:f>
        <x:v>0</x:v>
      </x:c>
      <x:c r="R23" s="17" t="n">
        <x:f>IF(ISNUMBER(Q23),Q23^2,"")</x:f>
        <x:v>0</x:v>
      </x:c>
      <x:c r="S23" s="19" t="str">
        <x:f>IF(AND(B23=1,$B$69&gt;0,ISNUMBER(R23)),R23/$B$69,"")</x:f>
      </x:c>
      <x:c r="T23" s="20" t="str">
        <x:f>IF(AND(B23=1,ISNUMBER(R23)),COUNTIFS($R$6:$R$65,"&gt;"&amp;R23,$B$6:$B$65,1)+COUNTIFS($R$6:R23,R23,$B$6:B23,1),"")</x:f>
      </x:c>
      <x:c r="U23" s="17" t="n">
        <x:f>IF(B23=0,0,IF(AND(ISNUMBER(N23),ISNUMBER(F23),ISNUMBER(G23)),MIN(N23*F23,N23*G23),""))</x:f>
        <x:v>0</x:v>
      </x:c>
      <x:c r="V23" s="17" t="n">
        <x:f>IF(B23=0,0,IF(AND(ISNUMBER(N23),ISNUMBER(F23),ISNUMBER(G23)),MAX(N23*F23,N23*G23),""))</x:f>
        <x:v>0</x:v>
      </x:c>
      <x:c r="W23" s="2" t="str">
        <x:f>IF(B23=0,"OFF",IF(B23&lt;&gt;1,"Use Include 1 or 0",IF(OR(C23="",E23=""),"Enter name and unit",IF(OR(NOT(ISNUMBER(F23)),NOT(ISNUMBER(G23)),G23&lt;=F23),"Review deviation limits",IF(NOT(ISNUMBER(K23)),"Enter mean deviation",IF(AND(H23="Uniform",ABS(K23-(F23+G23)/2)&gt;0.000000001),"Uniform mean = midpoint",IF(NOT(ISNUMBER(O23)),"Review sigma inputs",IF(AND(L23="Locator",OR(E23&lt;&gt;"mm",'Setup'!$D$7&lt;&gt;"mm")),"Locator units must be mm",IF(NOT(ISNUMBER(N23)),"Review coefficient","OK")))))))))</x:f>
        <x:v>OFF</x:v>
      </x:c>
      <x:c r="X23" s="12"/>
    </x:row>
    <x:row r="24" ht="23" customHeight="1">
      <x:c r="A24" s="2" t="str">
        <x:v>SRC019</x:v>
      </x:c>
      <x:c r="B24" s="12" t="n">
        <x:v>0</x:v>
      </x:c>
      <x:c r="C24" s="12" t="str"/>
      <x:c r="D24" s="12" t="str"/>
      <x:c r="E24" s="12" t="str">
        <x:v>mm</x:v>
      </x:c>
      <x:c r="F24" s="21" t="n">
        <x:v>-0.3</x:v>
      </x:c>
      <x:c r="G24" s="21" t="n">
        <x:v>0.3</x:v>
      </x:c>
      <x:c r="H24" s="21" t="str">
        <x:v>Normal</x:v>
      </x:c>
      <x:c r="I24" s="22" t="n">
        <x:v>3</x:v>
      </x:c>
      <x:c r="J24" s="21" t="n">
        <x:v>0</x:v>
      </x:c>
      <x:c r="K24" s="21" t="n">
        <x:v>0</x:v>
      </x:c>
      <x:c r="L24" s="12" t="str">
        <x:v>Manual</x:v>
      </x:c>
      <x:c r="M24" s="12" t="n">
        <x:v>0</x:v>
      </x:c>
      <x:c r="N24" s="17" t="n">
        <x:f>IF(B24=0,0,IF(L24="Manual",IF(ISNUMBER(M24),M24,""),IF(L24="Locator",IF(AND('Locator'!$B$22="OK",COUNTIFS('Locator'!$A$31:$A$36,A24)=1),-INDEX('Locator'!$H$31:$H$36,MATCH(A24,'Locator'!$A$31:$A$36,0)),""),IF(L24="Perturbation",IF(ISNUMBER(INDEX('Sensitivity'!$H$6:$H$65,MATCH(A24,'Sensitivity'!$A$6:$A$65,0))),INDEX('Sensitivity'!$H$6:$H$65,MATCH(A24,'Sensitivity'!$A$6:$A$65,0)),""),""))))</x:f>
        <x:v>0</x:v>
      </x:c>
      <x:c r="O24" s="17" t="n">
        <x:f>IF(B24=0,0,IF(H24="Normal",IF(AND(ISNUMBER(F24),ISNUMBER(G24),ISNUMBER(I24),I24&gt;0,G24&gt;F24),(G24-F24)/(2*I24),""),IF(H24="Uniform",IF(AND(ISNUMBER(F24),ISNUMBER(G24),G24&gt;F24),(G24-F24)/SQRT(12),""),IF(H24="Measured",IF(AND(ISNUMBER(J24),J24&gt;=0),J24,""),""))))</x:f>
        <x:v>0</x:v>
      </x:c>
      <x:c r="P24" s="17" t="n">
        <x:f>IF(B24=0,0,IF(AND(ISNUMBER(N24),ISNUMBER(K24)),N24*K24,""))</x:f>
        <x:v>0</x:v>
      </x:c>
      <x:c r="Q24" s="17" t="n">
        <x:f>IF(B24=0,0,IF(AND(ISNUMBER(N24),ISNUMBER(O24)),N24*O24,""))</x:f>
        <x:v>0</x:v>
      </x:c>
      <x:c r="R24" s="17" t="n">
        <x:f>IF(ISNUMBER(Q24),Q24^2,"")</x:f>
        <x:v>0</x:v>
      </x:c>
      <x:c r="S24" s="19" t="str">
        <x:f>IF(AND(B24=1,$B$69&gt;0,ISNUMBER(R24)),R24/$B$69,"")</x:f>
      </x:c>
      <x:c r="T24" s="20" t="str">
        <x:f>IF(AND(B24=1,ISNUMBER(R24)),COUNTIFS($R$6:$R$65,"&gt;"&amp;R24,$B$6:$B$65,1)+COUNTIFS($R$6:R24,R24,$B$6:B24,1),"")</x:f>
      </x:c>
      <x:c r="U24" s="17" t="n">
        <x:f>IF(B24=0,0,IF(AND(ISNUMBER(N24),ISNUMBER(F24),ISNUMBER(G24)),MIN(N24*F24,N24*G24),""))</x:f>
        <x:v>0</x:v>
      </x:c>
      <x:c r="V24" s="17" t="n">
        <x:f>IF(B24=0,0,IF(AND(ISNUMBER(N24),ISNUMBER(F24),ISNUMBER(G24)),MAX(N24*F24,N24*G24),""))</x:f>
        <x:v>0</x:v>
      </x:c>
      <x:c r="W24" s="2" t="str">
        <x:f>IF(B24=0,"OFF",IF(B24&lt;&gt;1,"Use Include 1 or 0",IF(OR(C24="",E24=""),"Enter name and unit",IF(OR(NOT(ISNUMBER(F24)),NOT(ISNUMBER(G24)),G24&lt;=F24),"Review deviation limits",IF(NOT(ISNUMBER(K24)),"Enter mean deviation",IF(AND(H24="Uniform",ABS(K24-(F24+G24)/2)&gt;0.000000001),"Uniform mean = midpoint",IF(NOT(ISNUMBER(O24)),"Review sigma inputs",IF(AND(L24="Locator",OR(E24&lt;&gt;"mm",'Setup'!$D$7&lt;&gt;"mm")),"Locator units must be mm",IF(NOT(ISNUMBER(N24)),"Review coefficient","OK")))))))))</x:f>
        <x:v>OFF</x:v>
      </x:c>
      <x:c r="X24" s="12"/>
    </x:row>
    <x:row r="25" ht="23" customHeight="1">
      <x:c r="A25" s="2" t="str">
        <x:v>SRC020</x:v>
      </x:c>
      <x:c r="B25" s="12" t="n">
        <x:v>0</x:v>
      </x:c>
      <x:c r="C25" s="12" t="str"/>
      <x:c r="D25" s="12" t="str"/>
      <x:c r="E25" s="12" t="str">
        <x:v>mm</x:v>
      </x:c>
      <x:c r="F25" s="21" t="n">
        <x:v>-0.3</x:v>
      </x:c>
      <x:c r="G25" s="21" t="n">
        <x:v>0.3</x:v>
      </x:c>
      <x:c r="H25" s="21" t="str">
        <x:v>Normal</x:v>
      </x:c>
      <x:c r="I25" s="22" t="n">
        <x:v>3</x:v>
      </x:c>
      <x:c r="J25" s="21" t="n">
        <x:v>0</x:v>
      </x:c>
      <x:c r="K25" s="21" t="n">
        <x:v>0</x:v>
      </x:c>
      <x:c r="L25" s="12" t="str">
        <x:v>Manual</x:v>
      </x:c>
      <x:c r="M25" s="12" t="n">
        <x:v>0</x:v>
      </x:c>
      <x:c r="N25" s="17" t="n">
        <x:f>IF(B25=0,0,IF(L25="Manual",IF(ISNUMBER(M25),M25,""),IF(L25="Locator",IF(AND('Locator'!$B$22="OK",COUNTIFS('Locator'!$A$31:$A$36,A25)=1),-INDEX('Locator'!$H$31:$H$36,MATCH(A25,'Locator'!$A$31:$A$36,0)),""),IF(L25="Perturbation",IF(ISNUMBER(INDEX('Sensitivity'!$H$6:$H$65,MATCH(A25,'Sensitivity'!$A$6:$A$65,0))),INDEX('Sensitivity'!$H$6:$H$65,MATCH(A25,'Sensitivity'!$A$6:$A$65,0)),""),""))))</x:f>
        <x:v>0</x:v>
      </x:c>
      <x:c r="O25" s="17" t="n">
        <x:f>IF(B25=0,0,IF(H25="Normal",IF(AND(ISNUMBER(F25),ISNUMBER(G25),ISNUMBER(I25),I25&gt;0,G25&gt;F25),(G25-F25)/(2*I25),""),IF(H25="Uniform",IF(AND(ISNUMBER(F25),ISNUMBER(G25),G25&gt;F25),(G25-F25)/SQRT(12),""),IF(H25="Measured",IF(AND(ISNUMBER(J25),J25&gt;=0),J25,""),""))))</x:f>
        <x:v>0</x:v>
      </x:c>
      <x:c r="P25" s="17" t="n">
        <x:f>IF(B25=0,0,IF(AND(ISNUMBER(N25),ISNUMBER(K25)),N25*K25,""))</x:f>
        <x:v>0</x:v>
      </x:c>
      <x:c r="Q25" s="17" t="n">
        <x:f>IF(B25=0,0,IF(AND(ISNUMBER(N25),ISNUMBER(O25)),N25*O25,""))</x:f>
        <x:v>0</x:v>
      </x:c>
      <x:c r="R25" s="17" t="n">
        <x:f>IF(ISNUMBER(Q25),Q25^2,"")</x:f>
        <x:v>0</x:v>
      </x:c>
      <x:c r="S25" s="19" t="str">
        <x:f>IF(AND(B25=1,$B$69&gt;0,ISNUMBER(R25)),R25/$B$69,"")</x:f>
      </x:c>
      <x:c r="T25" s="20" t="str">
        <x:f>IF(AND(B25=1,ISNUMBER(R25)),COUNTIFS($R$6:$R$65,"&gt;"&amp;R25,$B$6:$B$65,1)+COUNTIFS($R$6:R25,R25,$B$6:B25,1),"")</x:f>
      </x:c>
      <x:c r="U25" s="17" t="n">
        <x:f>IF(B25=0,0,IF(AND(ISNUMBER(N25),ISNUMBER(F25),ISNUMBER(G25)),MIN(N25*F25,N25*G25),""))</x:f>
        <x:v>0</x:v>
      </x:c>
      <x:c r="V25" s="17" t="n">
        <x:f>IF(B25=0,0,IF(AND(ISNUMBER(N25),ISNUMBER(F25),ISNUMBER(G25)),MAX(N25*F25,N25*G25),""))</x:f>
        <x:v>0</x:v>
      </x:c>
      <x:c r="W25" s="2" t="str">
        <x:f>IF(B25=0,"OFF",IF(B25&lt;&gt;1,"Use Include 1 or 0",IF(OR(C25="",E25=""),"Enter name and unit",IF(OR(NOT(ISNUMBER(F25)),NOT(ISNUMBER(G25)),G25&lt;=F25),"Review deviation limits",IF(NOT(ISNUMBER(K25)),"Enter mean deviation",IF(AND(H25="Uniform",ABS(K25-(F25+G25)/2)&gt;0.000000001),"Uniform mean = midpoint",IF(NOT(ISNUMBER(O25)),"Review sigma inputs",IF(AND(L25="Locator",OR(E25&lt;&gt;"mm",'Setup'!$D$7&lt;&gt;"mm")),"Locator units must be mm",IF(NOT(ISNUMBER(N25)),"Review coefficient","OK")))))))))</x:f>
        <x:v>OFF</x:v>
      </x:c>
      <x:c r="X25" s="12"/>
    </x:row>
    <x:row r="26" ht="23" customHeight="1">
      <x:c r="A26" s="2" t="str">
        <x:v>SRC021</x:v>
      </x:c>
      <x:c r="B26" s="12" t="n">
        <x:v>0</x:v>
      </x:c>
      <x:c r="C26" s="12" t="str"/>
      <x:c r="D26" s="12" t="str"/>
      <x:c r="E26" s="12" t="str">
        <x:v>mm</x:v>
      </x:c>
      <x:c r="F26" s="21" t="n">
        <x:v>-0.3</x:v>
      </x:c>
      <x:c r="G26" s="21" t="n">
        <x:v>0.3</x:v>
      </x:c>
      <x:c r="H26" s="21" t="str">
        <x:v>Normal</x:v>
      </x:c>
      <x:c r="I26" s="22" t="n">
        <x:v>3</x:v>
      </x:c>
      <x:c r="J26" s="21" t="n">
        <x:v>0</x:v>
      </x:c>
      <x:c r="K26" s="21" t="n">
        <x:v>0</x:v>
      </x:c>
      <x:c r="L26" s="12" t="str">
        <x:v>Manual</x:v>
      </x:c>
      <x:c r="M26" s="12" t="n">
        <x:v>0</x:v>
      </x:c>
      <x:c r="N26" s="17" t="n">
        <x:f>IF(B26=0,0,IF(L26="Manual",IF(ISNUMBER(M26),M26,""),IF(L26="Locator",IF(AND('Locator'!$B$22="OK",COUNTIFS('Locator'!$A$31:$A$36,A26)=1),-INDEX('Locator'!$H$31:$H$36,MATCH(A26,'Locator'!$A$31:$A$36,0)),""),IF(L26="Perturbation",IF(ISNUMBER(INDEX('Sensitivity'!$H$6:$H$65,MATCH(A26,'Sensitivity'!$A$6:$A$65,0))),INDEX('Sensitivity'!$H$6:$H$65,MATCH(A26,'Sensitivity'!$A$6:$A$65,0)),""),""))))</x:f>
        <x:v>0</x:v>
      </x:c>
      <x:c r="O26" s="17" t="n">
        <x:f>IF(B26=0,0,IF(H26="Normal",IF(AND(ISNUMBER(F26),ISNUMBER(G26),ISNUMBER(I26),I26&gt;0,G26&gt;F26),(G26-F26)/(2*I26),""),IF(H26="Uniform",IF(AND(ISNUMBER(F26),ISNUMBER(G26),G26&gt;F26),(G26-F26)/SQRT(12),""),IF(H26="Measured",IF(AND(ISNUMBER(J26),J26&gt;=0),J26,""),""))))</x:f>
        <x:v>0</x:v>
      </x:c>
      <x:c r="P26" s="17" t="n">
        <x:f>IF(B26=0,0,IF(AND(ISNUMBER(N26),ISNUMBER(K26)),N26*K26,""))</x:f>
        <x:v>0</x:v>
      </x:c>
      <x:c r="Q26" s="17" t="n">
        <x:f>IF(B26=0,0,IF(AND(ISNUMBER(N26),ISNUMBER(O26)),N26*O26,""))</x:f>
        <x:v>0</x:v>
      </x:c>
      <x:c r="R26" s="17" t="n">
        <x:f>IF(ISNUMBER(Q26),Q26^2,"")</x:f>
        <x:v>0</x:v>
      </x:c>
      <x:c r="S26" s="19" t="str">
        <x:f>IF(AND(B26=1,$B$69&gt;0,ISNUMBER(R26)),R26/$B$69,"")</x:f>
      </x:c>
      <x:c r="T26" s="20" t="str">
        <x:f>IF(AND(B26=1,ISNUMBER(R26)),COUNTIFS($R$6:$R$65,"&gt;"&amp;R26,$B$6:$B$65,1)+COUNTIFS($R$6:R26,R26,$B$6:B26,1),"")</x:f>
      </x:c>
      <x:c r="U26" s="17" t="n">
        <x:f>IF(B26=0,0,IF(AND(ISNUMBER(N26),ISNUMBER(F26),ISNUMBER(G26)),MIN(N26*F26,N26*G26),""))</x:f>
        <x:v>0</x:v>
      </x:c>
      <x:c r="V26" s="17" t="n">
        <x:f>IF(B26=0,0,IF(AND(ISNUMBER(N26),ISNUMBER(F26),ISNUMBER(G26)),MAX(N26*F26,N26*G26),""))</x:f>
        <x:v>0</x:v>
      </x:c>
      <x:c r="W26" s="2" t="str">
        <x:f>IF(B26=0,"OFF",IF(B26&lt;&gt;1,"Use Include 1 or 0",IF(OR(C26="",E26=""),"Enter name and unit",IF(OR(NOT(ISNUMBER(F26)),NOT(ISNUMBER(G26)),G26&lt;=F26),"Review deviation limits",IF(NOT(ISNUMBER(K26)),"Enter mean deviation",IF(AND(H26="Uniform",ABS(K26-(F26+G26)/2)&gt;0.000000001),"Uniform mean = midpoint",IF(NOT(ISNUMBER(O26)),"Review sigma inputs",IF(AND(L26="Locator",OR(E26&lt;&gt;"mm",'Setup'!$D$7&lt;&gt;"mm")),"Locator units must be mm",IF(NOT(ISNUMBER(N26)),"Review coefficient","OK")))))))))</x:f>
        <x:v>OFF</x:v>
      </x:c>
      <x:c r="X26" s="12"/>
    </x:row>
    <x:row r="27" ht="23" customHeight="1">
      <x:c r="A27" s="2" t="str">
        <x:v>SRC022</x:v>
      </x:c>
      <x:c r="B27" s="12" t="n">
        <x:v>0</x:v>
      </x:c>
      <x:c r="C27" s="12" t="str"/>
      <x:c r="D27" s="12" t="str"/>
      <x:c r="E27" s="12" t="str">
        <x:v>mm</x:v>
      </x:c>
      <x:c r="F27" s="21" t="n">
        <x:v>-0.3</x:v>
      </x:c>
      <x:c r="G27" s="21" t="n">
        <x:v>0.3</x:v>
      </x:c>
      <x:c r="H27" s="21" t="str">
        <x:v>Normal</x:v>
      </x:c>
      <x:c r="I27" s="22" t="n">
        <x:v>3</x:v>
      </x:c>
      <x:c r="J27" s="21" t="n">
        <x:v>0</x:v>
      </x:c>
      <x:c r="K27" s="21" t="n">
        <x:v>0</x:v>
      </x:c>
      <x:c r="L27" s="12" t="str">
        <x:v>Manual</x:v>
      </x:c>
      <x:c r="M27" s="12" t="n">
        <x:v>0</x:v>
      </x:c>
      <x:c r="N27" s="17" t="n">
        <x:f>IF(B27=0,0,IF(L27="Manual",IF(ISNUMBER(M27),M27,""),IF(L27="Locator",IF(AND('Locator'!$B$22="OK",COUNTIFS('Locator'!$A$31:$A$36,A27)=1),-INDEX('Locator'!$H$31:$H$36,MATCH(A27,'Locator'!$A$31:$A$36,0)),""),IF(L27="Perturbation",IF(ISNUMBER(INDEX('Sensitivity'!$H$6:$H$65,MATCH(A27,'Sensitivity'!$A$6:$A$65,0))),INDEX('Sensitivity'!$H$6:$H$65,MATCH(A27,'Sensitivity'!$A$6:$A$65,0)),""),""))))</x:f>
        <x:v>0</x:v>
      </x:c>
      <x:c r="O27" s="17" t="n">
        <x:f>IF(B27=0,0,IF(H27="Normal",IF(AND(ISNUMBER(F27),ISNUMBER(G27),ISNUMBER(I27),I27&gt;0,G27&gt;F27),(G27-F27)/(2*I27),""),IF(H27="Uniform",IF(AND(ISNUMBER(F27),ISNUMBER(G27),G27&gt;F27),(G27-F27)/SQRT(12),""),IF(H27="Measured",IF(AND(ISNUMBER(J27),J27&gt;=0),J27,""),""))))</x:f>
        <x:v>0</x:v>
      </x:c>
      <x:c r="P27" s="17" t="n">
        <x:f>IF(B27=0,0,IF(AND(ISNUMBER(N27),ISNUMBER(K27)),N27*K27,""))</x:f>
        <x:v>0</x:v>
      </x:c>
      <x:c r="Q27" s="17" t="n">
        <x:f>IF(B27=0,0,IF(AND(ISNUMBER(N27),ISNUMBER(O27)),N27*O27,""))</x:f>
        <x:v>0</x:v>
      </x:c>
      <x:c r="R27" s="17" t="n">
        <x:f>IF(ISNUMBER(Q27),Q27^2,"")</x:f>
        <x:v>0</x:v>
      </x:c>
      <x:c r="S27" s="19" t="str">
        <x:f>IF(AND(B27=1,$B$69&gt;0,ISNUMBER(R27)),R27/$B$69,"")</x:f>
      </x:c>
      <x:c r="T27" s="20" t="str">
        <x:f>IF(AND(B27=1,ISNUMBER(R27)),COUNTIFS($R$6:$R$65,"&gt;"&amp;R27,$B$6:$B$65,1)+COUNTIFS($R$6:R27,R27,$B$6:B27,1),"")</x:f>
      </x:c>
      <x:c r="U27" s="17" t="n">
        <x:f>IF(B27=0,0,IF(AND(ISNUMBER(N27),ISNUMBER(F27),ISNUMBER(G27)),MIN(N27*F27,N27*G27),""))</x:f>
        <x:v>0</x:v>
      </x:c>
      <x:c r="V27" s="17" t="n">
        <x:f>IF(B27=0,0,IF(AND(ISNUMBER(N27),ISNUMBER(F27),ISNUMBER(G27)),MAX(N27*F27,N27*G27),""))</x:f>
        <x:v>0</x:v>
      </x:c>
      <x:c r="W27" s="2" t="str">
        <x:f>IF(B27=0,"OFF",IF(B27&lt;&gt;1,"Use Include 1 or 0",IF(OR(C27="",E27=""),"Enter name and unit",IF(OR(NOT(ISNUMBER(F27)),NOT(ISNUMBER(G27)),G27&lt;=F27),"Review deviation limits",IF(NOT(ISNUMBER(K27)),"Enter mean deviation",IF(AND(H27="Uniform",ABS(K27-(F27+G27)/2)&gt;0.000000001),"Uniform mean = midpoint",IF(NOT(ISNUMBER(O27)),"Review sigma inputs",IF(AND(L27="Locator",OR(E27&lt;&gt;"mm",'Setup'!$D$7&lt;&gt;"mm")),"Locator units must be mm",IF(NOT(ISNUMBER(N27)),"Review coefficient","OK")))))))))</x:f>
        <x:v>OFF</x:v>
      </x:c>
      <x:c r="X27" s="12"/>
    </x:row>
    <x:row r="28" ht="23" customHeight="1">
      <x:c r="A28" s="2" t="str">
        <x:v>SRC023</x:v>
      </x:c>
      <x:c r="B28" s="12" t="n">
        <x:v>0</x:v>
      </x:c>
      <x:c r="C28" s="12" t="str"/>
      <x:c r="D28" s="12" t="str"/>
      <x:c r="E28" s="12" t="str">
        <x:v>mm</x:v>
      </x:c>
      <x:c r="F28" s="21" t="n">
        <x:v>-0.3</x:v>
      </x:c>
      <x:c r="G28" s="21" t="n">
        <x:v>0.3</x:v>
      </x:c>
      <x:c r="H28" s="21" t="str">
        <x:v>Normal</x:v>
      </x:c>
      <x:c r="I28" s="22" t="n">
        <x:v>3</x:v>
      </x:c>
      <x:c r="J28" s="21" t="n">
        <x:v>0</x:v>
      </x:c>
      <x:c r="K28" s="21" t="n">
        <x:v>0</x:v>
      </x:c>
      <x:c r="L28" s="12" t="str">
        <x:v>Manual</x:v>
      </x:c>
      <x:c r="M28" s="12" t="n">
        <x:v>0</x:v>
      </x:c>
      <x:c r="N28" s="17" t="n">
        <x:f>IF(B28=0,0,IF(L28="Manual",IF(ISNUMBER(M28),M28,""),IF(L28="Locator",IF(AND('Locator'!$B$22="OK",COUNTIFS('Locator'!$A$31:$A$36,A28)=1),-INDEX('Locator'!$H$31:$H$36,MATCH(A28,'Locator'!$A$31:$A$36,0)),""),IF(L28="Perturbation",IF(ISNUMBER(INDEX('Sensitivity'!$H$6:$H$65,MATCH(A28,'Sensitivity'!$A$6:$A$65,0))),INDEX('Sensitivity'!$H$6:$H$65,MATCH(A28,'Sensitivity'!$A$6:$A$65,0)),""),""))))</x:f>
        <x:v>0</x:v>
      </x:c>
      <x:c r="O28" s="17" t="n">
        <x:f>IF(B28=0,0,IF(H28="Normal",IF(AND(ISNUMBER(F28),ISNUMBER(G28),ISNUMBER(I28),I28&gt;0,G28&gt;F28),(G28-F28)/(2*I28),""),IF(H28="Uniform",IF(AND(ISNUMBER(F28),ISNUMBER(G28),G28&gt;F28),(G28-F28)/SQRT(12),""),IF(H28="Measured",IF(AND(ISNUMBER(J28),J28&gt;=0),J28,""),""))))</x:f>
        <x:v>0</x:v>
      </x:c>
      <x:c r="P28" s="17" t="n">
        <x:f>IF(B28=0,0,IF(AND(ISNUMBER(N28),ISNUMBER(K28)),N28*K28,""))</x:f>
        <x:v>0</x:v>
      </x:c>
      <x:c r="Q28" s="17" t="n">
        <x:f>IF(B28=0,0,IF(AND(ISNUMBER(N28),ISNUMBER(O28)),N28*O28,""))</x:f>
        <x:v>0</x:v>
      </x:c>
      <x:c r="R28" s="17" t="n">
        <x:f>IF(ISNUMBER(Q28),Q28^2,"")</x:f>
        <x:v>0</x:v>
      </x:c>
      <x:c r="S28" s="19" t="str">
        <x:f>IF(AND(B28=1,$B$69&gt;0,ISNUMBER(R28)),R28/$B$69,"")</x:f>
      </x:c>
      <x:c r="T28" s="20" t="str">
        <x:f>IF(AND(B28=1,ISNUMBER(R28)),COUNTIFS($R$6:$R$65,"&gt;"&amp;R28,$B$6:$B$65,1)+COUNTIFS($R$6:R28,R28,$B$6:B28,1),"")</x:f>
      </x:c>
      <x:c r="U28" s="17" t="n">
        <x:f>IF(B28=0,0,IF(AND(ISNUMBER(N28),ISNUMBER(F28),ISNUMBER(G28)),MIN(N28*F28,N28*G28),""))</x:f>
        <x:v>0</x:v>
      </x:c>
      <x:c r="V28" s="17" t="n">
        <x:f>IF(B28=0,0,IF(AND(ISNUMBER(N28),ISNUMBER(F28),ISNUMBER(G28)),MAX(N28*F28,N28*G28),""))</x:f>
        <x:v>0</x:v>
      </x:c>
      <x:c r="W28" s="2" t="str">
        <x:f>IF(B28=0,"OFF",IF(B28&lt;&gt;1,"Use Include 1 or 0",IF(OR(C28="",E28=""),"Enter name and unit",IF(OR(NOT(ISNUMBER(F28)),NOT(ISNUMBER(G28)),G28&lt;=F28),"Review deviation limits",IF(NOT(ISNUMBER(K28)),"Enter mean deviation",IF(AND(H28="Uniform",ABS(K28-(F28+G28)/2)&gt;0.000000001),"Uniform mean = midpoint",IF(NOT(ISNUMBER(O28)),"Review sigma inputs",IF(AND(L28="Locator",OR(E28&lt;&gt;"mm",'Setup'!$D$7&lt;&gt;"mm")),"Locator units must be mm",IF(NOT(ISNUMBER(N28)),"Review coefficient","OK")))))))))</x:f>
        <x:v>OFF</x:v>
      </x:c>
      <x:c r="X28" s="12"/>
    </x:row>
    <x:row r="29" ht="23" customHeight="1">
      <x:c r="A29" s="2" t="str">
        <x:v>SRC024</x:v>
      </x:c>
      <x:c r="B29" s="12" t="n">
        <x:v>0</x:v>
      </x:c>
      <x:c r="C29" s="12" t="str"/>
      <x:c r="D29" s="12" t="str"/>
      <x:c r="E29" s="12" t="str">
        <x:v>mm</x:v>
      </x:c>
      <x:c r="F29" s="21" t="n">
        <x:v>-0.3</x:v>
      </x:c>
      <x:c r="G29" s="21" t="n">
        <x:v>0.3</x:v>
      </x:c>
      <x:c r="H29" s="21" t="str">
        <x:v>Normal</x:v>
      </x:c>
      <x:c r="I29" s="22" t="n">
        <x:v>3</x:v>
      </x:c>
      <x:c r="J29" s="21" t="n">
        <x:v>0</x:v>
      </x:c>
      <x:c r="K29" s="21" t="n">
        <x:v>0</x:v>
      </x:c>
      <x:c r="L29" s="12" t="str">
        <x:v>Manual</x:v>
      </x:c>
      <x:c r="M29" s="12" t="n">
        <x:v>0</x:v>
      </x:c>
      <x:c r="N29" s="17" t="n">
        <x:f>IF(B29=0,0,IF(L29="Manual",IF(ISNUMBER(M29),M29,""),IF(L29="Locator",IF(AND('Locator'!$B$22="OK",COUNTIFS('Locator'!$A$31:$A$36,A29)=1),-INDEX('Locator'!$H$31:$H$36,MATCH(A29,'Locator'!$A$31:$A$36,0)),""),IF(L29="Perturbation",IF(ISNUMBER(INDEX('Sensitivity'!$H$6:$H$65,MATCH(A29,'Sensitivity'!$A$6:$A$65,0))),INDEX('Sensitivity'!$H$6:$H$65,MATCH(A29,'Sensitivity'!$A$6:$A$65,0)),""),""))))</x:f>
        <x:v>0</x:v>
      </x:c>
      <x:c r="O29" s="17" t="n">
        <x:f>IF(B29=0,0,IF(H29="Normal",IF(AND(ISNUMBER(F29),ISNUMBER(G29),ISNUMBER(I29),I29&gt;0,G29&gt;F29),(G29-F29)/(2*I29),""),IF(H29="Uniform",IF(AND(ISNUMBER(F29),ISNUMBER(G29),G29&gt;F29),(G29-F29)/SQRT(12),""),IF(H29="Measured",IF(AND(ISNUMBER(J29),J29&gt;=0),J29,""),""))))</x:f>
        <x:v>0</x:v>
      </x:c>
      <x:c r="P29" s="17" t="n">
        <x:f>IF(B29=0,0,IF(AND(ISNUMBER(N29),ISNUMBER(K29)),N29*K29,""))</x:f>
        <x:v>0</x:v>
      </x:c>
      <x:c r="Q29" s="17" t="n">
        <x:f>IF(B29=0,0,IF(AND(ISNUMBER(N29),ISNUMBER(O29)),N29*O29,""))</x:f>
        <x:v>0</x:v>
      </x:c>
      <x:c r="R29" s="17" t="n">
        <x:f>IF(ISNUMBER(Q29),Q29^2,"")</x:f>
        <x:v>0</x:v>
      </x:c>
      <x:c r="S29" s="19" t="str">
        <x:f>IF(AND(B29=1,$B$69&gt;0,ISNUMBER(R29)),R29/$B$69,"")</x:f>
      </x:c>
      <x:c r="T29" s="20" t="str">
        <x:f>IF(AND(B29=1,ISNUMBER(R29)),COUNTIFS($R$6:$R$65,"&gt;"&amp;R29,$B$6:$B$65,1)+COUNTIFS($R$6:R29,R29,$B$6:B29,1),"")</x:f>
      </x:c>
      <x:c r="U29" s="17" t="n">
        <x:f>IF(B29=0,0,IF(AND(ISNUMBER(N29),ISNUMBER(F29),ISNUMBER(G29)),MIN(N29*F29,N29*G29),""))</x:f>
        <x:v>0</x:v>
      </x:c>
      <x:c r="V29" s="17" t="n">
        <x:f>IF(B29=0,0,IF(AND(ISNUMBER(N29),ISNUMBER(F29),ISNUMBER(G29)),MAX(N29*F29,N29*G29),""))</x:f>
        <x:v>0</x:v>
      </x:c>
      <x:c r="W29" s="2" t="str">
        <x:f>IF(B29=0,"OFF",IF(B29&lt;&gt;1,"Use Include 1 or 0",IF(OR(C29="",E29=""),"Enter name and unit",IF(OR(NOT(ISNUMBER(F29)),NOT(ISNUMBER(G29)),G29&lt;=F29),"Review deviation limits",IF(NOT(ISNUMBER(K29)),"Enter mean deviation",IF(AND(H29="Uniform",ABS(K29-(F29+G29)/2)&gt;0.000000001),"Uniform mean = midpoint",IF(NOT(ISNUMBER(O29)),"Review sigma inputs",IF(AND(L29="Locator",OR(E29&lt;&gt;"mm",'Setup'!$D$7&lt;&gt;"mm")),"Locator units must be mm",IF(NOT(ISNUMBER(N29)),"Review coefficient","OK")))))))))</x:f>
        <x:v>OFF</x:v>
      </x:c>
      <x:c r="X29" s="12"/>
    </x:row>
    <x:row r="30" ht="23" customHeight="1">
      <x:c r="A30" s="2" t="str">
        <x:v>SRC025</x:v>
      </x:c>
      <x:c r="B30" s="12" t="n">
        <x:v>0</x:v>
      </x:c>
      <x:c r="C30" s="12" t="str"/>
      <x:c r="D30" s="12" t="str"/>
      <x:c r="E30" s="12" t="str">
        <x:v>mm</x:v>
      </x:c>
      <x:c r="F30" s="21" t="n">
        <x:v>-0.3</x:v>
      </x:c>
      <x:c r="G30" s="21" t="n">
        <x:v>0.3</x:v>
      </x:c>
      <x:c r="H30" s="21" t="str">
        <x:v>Normal</x:v>
      </x:c>
      <x:c r="I30" s="22" t="n">
        <x:v>3</x:v>
      </x:c>
      <x:c r="J30" s="21" t="n">
        <x:v>0</x:v>
      </x:c>
      <x:c r="K30" s="21" t="n">
        <x:v>0</x:v>
      </x:c>
      <x:c r="L30" s="12" t="str">
        <x:v>Manual</x:v>
      </x:c>
      <x:c r="M30" s="12" t="n">
        <x:v>0</x:v>
      </x:c>
      <x:c r="N30" s="17" t="n">
        <x:f>IF(B30=0,0,IF(L30="Manual",IF(ISNUMBER(M30),M30,""),IF(L30="Locator",IF(AND('Locator'!$B$22="OK",COUNTIFS('Locator'!$A$31:$A$36,A30)=1),-INDEX('Locator'!$H$31:$H$36,MATCH(A30,'Locator'!$A$31:$A$36,0)),""),IF(L30="Perturbation",IF(ISNUMBER(INDEX('Sensitivity'!$H$6:$H$65,MATCH(A30,'Sensitivity'!$A$6:$A$65,0))),INDEX('Sensitivity'!$H$6:$H$65,MATCH(A30,'Sensitivity'!$A$6:$A$65,0)),""),""))))</x:f>
        <x:v>0</x:v>
      </x:c>
      <x:c r="O30" s="17" t="n">
        <x:f>IF(B30=0,0,IF(H30="Normal",IF(AND(ISNUMBER(F30),ISNUMBER(G30),ISNUMBER(I30),I30&gt;0,G30&gt;F30),(G30-F30)/(2*I30),""),IF(H30="Uniform",IF(AND(ISNUMBER(F30),ISNUMBER(G30),G30&gt;F30),(G30-F30)/SQRT(12),""),IF(H30="Measured",IF(AND(ISNUMBER(J30),J30&gt;=0),J30,""),""))))</x:f>
        <x:v>0</x:v>
      </x:c>
      <x:c r="P30" s="17" t="n">
        <x:f>IF(B30=0,0,IF(AND(ISNUMBER(N30),ISNUMBER(K30)),N30*K30,""))</x:f>
        <x:v>0</x:v>
      </x:c>
      <x:c r="Q30" s="17" t="n">
        <x:f>IF(B30=0,0,IF(AND(ISNUMBER(N30),ISNUMBER(O30)),N30*O30,""))</x:f>
        <x:v>0</x:v>
      </x:c>
      <x:c r="R30" s="17" t="n">
        <x:f>IF(ISNUMBER(Q30),Q30^2,"")</x:f>
        <x:v>0</x:v>
      </x:c>
      <x:c r="S30" s="19" t="str">
        <x:f>IF(AND(B30=1,$B$69&gt;0,ISNUMBER(R30)),R30/$B$69,"")</x:f>
      </x:c>
      <x:c r="T30" s="20" t="str">
        <x:f>IF(AND(B30=1,ISNUMBER(R30)),COUNTIFS($R$6:$R$65,"&gt;"&amp;R30,$B$6:$B$65,1)+COUNTIFS($R$6:R30,R30,$B$6:B30,1),"")</x:f>
      </x:c>
      <x:c r="U30" s="17" t="n">
        <x:f>IF(B30=0,0,IF(AND(ISNUMBER(N30),ISNUMBER(F30),ISNUMBER(G30)),MIN(N30*F30,N30*G30),""))</x:f>
        <x:v>0</x:v>
      </x:c>
      <x:c r="V30" s="17" t="n">
        <x:f>IF(B30=0,0,IF(AND(ISNUMBER(N30),ISNUMBER(F30),ISNUMBER(G30)),MAX(N30*F30,N30*G30),""))</x:f>
        <x:v>0</x:v>
      </x:c>
      <x:c r="W30" s="2" t="str">
        <x:f>IF(B30=0,"OFF",IF(B30&lt;&gt;1,"Use Include 1 or 0",IF(OR(C30="",E30=""),"Enter name and unit",IF(OR(NOT(ISNUMBER(F30)),NOT(ISNUMBER(G30)),G30&lt;=F30),"Review deviation limits",IF(NOT(ISNUMBER(K30)),"Enter mean deviation",IF(AND(H30="Uniform",ABS(K30-(F30+G30)/2)&gt;0.000000001),"Uniform mean = midpoint",IF(NOT(ISNUMBER(O30)),"Review sigma inputs",IF(AND(L30="Locator",OR(E30&lt;&gt;"mm",'Setup'!$D$7&lt;&gt;"mm")),"Locator units must be mm",IF(NOT(ISNUMBER(N30)),"Review coefficient","OK")))))))))</x:f>
        <x:v>OFF</x:v>
      </x:c>
      <x:c r="X30" s="12"/>
    </x:row>
    <x:row r="31" ht="23" customHeight="1">
      <x:c r="A31" s="2" t="str">
        <x:v>SRC026</x:v>
      </x:c>
      <x:c r="B31" s="12" t="n">
        <x:v>0</x:v>
      </x:c>
      <x:c r="C31" s="12" t="str"/>
      <x:c r="D31" s="12" t="str"/>
      <x:c r="E31" s="12" t="str">
        <x:v>mm</x:v>
      </x:c>
      <x:c r="F31" s="21" t="n">
        <x:v>-0.3</x:v>
      </x:c>
      <x:c r="G31" s="21" t="n">
        <x:v>0.3</x:v>
      </x:c>
      <x:c r="H31" s="21" t="str">
        <x:v>Normal</x:v>
      </x:c>
      <x:c r="I31" s="22" t="n">
        <x:v>3</x:v>
      </x:c>
      <x:c r="J31" s="21" t="n">
        <x:v>0</x:v>
      </x:c>
      <x:c r="K31" s="21" t="n">
        <x:v>0</x:v>
      </x:c>
      <x:c r="L31" s="12" t="str">
        <x:v>Manual</x:v>
      </x:c>
      <x:c r="M31" s="12" t="n">
        <x:v>0</x:v>
      </x:c>
      <x:c r="N31" s="17" t="n">
        <x:f>IF(B31=0,0,IF(L31="Manual",IF(ISNUMBER(M31),M31,""),IF(L31="Locator",IF(AND('Locator'!$B$22="OK",COUNTIFS('Locator'!$A$31:$A$36,A31)=1),-INDEX('Locator'!$H$31:$H$36,MATCH(A31,'Locator'!$A$31:$A$36,0)),""),IF(L31="Perturbation",IF(ISNUMBER(INDEX('Sensitivity'!$H$6:$H$65,MATCH(A31,'Sensitivity'!$A$6:$A$65,0))),INDEX('Sensitivity'!$H$6:$H$65,MATCH(A31,'Sensitivity'!$A$6:$A$65,0)),""),""))))</x:f>
        <x:v>0</x:v>
      </x:c>
      <x:c r="O31" s="17" t="n">
        <x:f>IF(B31=0,0,IF(H31="Normal",IF(AND(ISNUMBER(F31),ISNUMBER(G31),ISNUMBER(I31),I31&gt;0,G31&gt;F31),(G31-F31)/(2*I31),""),IF(H31="Uniform",IF(AND(ISNUMBER(F31),ISNUMBER(G31),G31&gt;F31),(G31-F31)/SQRT(12),""),IF(H31="Measured",IF(AND(ISNUMBER(J31),J31&gt;=0),J31,""),""))))</x:f>
        <x:v>0</x:v>
      </x:c>
      <x:c r="P31" s="17" t="n">
        <x:f>IF(B31=0,0,IF(AND(ISNUMBER(N31),ISNUMBER(K31)),N31*K31,""))</x:f>
        <x:v>0</x:v>
      </x:c>
      <x:c r="Q31" s="17" t="n">
        <x:f>IF(B31=0,0,IF(AND(ISNUMBER(N31),ISNUMBER(O31)),N31*O31,""))</x:f>
        <x:v>0</x:v>
      </x:c>
      <x:c r="R31" s="17" t="n">
        <x:f>IF(ISNUMBER(Q31),Q31^2,"")</x:f>
        <x:v>0</x:v>
      </x:c>
      <x:c r="S31" s="19" t="str">
        <x:f>IF(AND(B31=1,$B$69&gt;0,ISNUMBER(R31)),R31/$B$69,"")</x:f>
      </x:c>
      <x:c r="T31" s="20" t="str">
        <x:f>IF(AND(B31=1,ISNUMBER(R31)),COUNTIFS($R$6:$R$65,"&gt;"&amp;R31,$B$6:$B$65,1)+COUNTIFS($R$6:R31,R31,$B$6:B31,1),"")</x:f>
      </x:c>
      <x:c r="U31" s="17" t="n">
        <x:f>IF(B31=0,0,IF(AND(ISNUMBER(N31),ISNUMBER(F31),ISNUMBER(G31)),MIN(N31*F31,N31*G31),""))</x:f>
        <x:v>0</x:v>
      </x:c>
      <x:c r="V31" s="17" t="n">
        <x:f>IF(B31=0,0,IF(AND(ISNUMBER(N31),ISNUMBER(F31),ISNUMBER(G31)),MAX(N31*F31,N31*G31),""))</x:f>
        <x:v>0</x:v>
      </x:c>
      <x:c r="W31" s="2" t="str">
        <x:f>IF(B31=0,"OFF",IF(B31&lt;&gt;1,"Use Include 1 or 0",IF(OR(C31="",E31=""),"Enter name and unit",IF(OR(NOT(ISNUMBER(F31)),NOT(ISNUMBER(G31)),G31&lt;=F31),"Review deviation limits",IF(NOT(ISNUMBER(K31)),"Enter mean deviation",IF(AND(H31="Uniform",ABS(K31-(F31+G31)/2)&gt;0.000000001),"Uniform mean = midpoint",IF(NOT(ISNUMBER(O31)),"Review sigma inputs",IF(AND(L31="Locator",OR(E31&lt;&gt;"mm",'Setup'!$D$7&lt;&gt;"mm")),"Locator units must be mm",IF(NOT(ISNUMBER(N31)),"Review coefficient","OK")))))))))</x:f>
        <x:v>OFF</x:v>
      </x:c>
      <x:c r="X31" s="12"/>
    </x:row>
    <x:row r="32" ht="23" customHeight="1">
      <x:c r="A32" s="2" t="str">
        <x:v>SRC027</x:v>
      </x:c>
      <x:c r="B32" s="12" t="n">
        <x:v>0</x:v>
      </x:c>
      <x:c r="C32" s="12" t="str"/>
      <x:c r="D32" s="12" t="str"/>
      <x:c r="E32" s="12" t="str">
        <x:v>mm</x:v>
      </x:c>
      <x:c r="F32" s="21" t="n">
        <x:v>-0.3</x:v>
      </x:c>
      <x:c r="G32" s="21" t="n">
        <x:v>0.3</x:v>
      </x:c>
      <x:c r="H32" s="21" t="str">
        <x:v>Normal</x:v>
      </x:c>
      <x:c r="I32" s="22" t="n">
        <x:v>3</x:v>
      </x:c>
      <x:c r="J32" s="21" t="n">
        <x:v>0</x:v>
      </x:c>
      <x:c r="K32" s="21" t="n">
        <x:v>0</x:v>
      </x:c>
      <x:c r="L32" s="12" t="str">
        <x:v>Manual</x:v>
      </x:c>
      <x:c r="M32" s="12" t="n">
        <x:v>0</x:v>
      </x:c>
      <x:c r="N32" s="17" t="n">
        <x:f>IF(B32=0,0,IF(L32="Manual",IF(ISNUMBER(M32),M32,""),IF(L32="Locator",IF(AND('Locator'!$B$22="OK",COUNTIFS('Locator'!$A$31:$A$36,A32)=1),-INDEX('Locator'!$H$31:$H$36,MATCH(A32,'Locator'!$A$31:$A$36,0)),""),IF(L32="Perturbation",IF(ISNUMBER(INDEX('Sensitivity'!$H$6:$H$65,MATCH(A32,'Sensitivity'!$A$6:$A$65,0))),INDEX('Sensitivity'!$H$6:$H$65,MATCH(A32,'Sensitivity'!$A$6:$A$65,0)),""),""))))</x:f>
        <x:v>0</x:v>
      </x:c>
      <x:c r="O32" s="17" t="n">
        <x:f>IF(B32=0,0,IF(H32="Normal",IF(AND(ISNUMBER(F32),ISNUMBER(G32),ISNUMBER(I32),I32&gt;0,G32&gt;F32),(G32-F32)/(2*I32),""),IF(H32="Uniform",IF(AND(ISNUMBER(F32),ISNUMBER(G32),G32&gt;F32),(G32-F32)/SQRT(12),""),IF(H32="Measured",IF(AND(ISNUMBER(J32),J32&gt;=0),J32,""),""))))</x:f>
        <x:v>0</x:v>
      </x:c>
      <x:c r="P32" s="17" t="n">
        <x:f>IF(B32=0,0,IF(AND(ISNUMBER(N32),ISNUMBER(K32)),N32*K32,""))</x:f>
        <x:v>0</x:v>
      </x:c>
      <x:c r="Q32" s="17" t="n">
        <x:f>IF(B32=0,0,IF(AND(ISNUMBER(N32),ISNUMBER(O32)),N32*O32,""))</x:f>
        <x:v>0</x:v>
      </x:c>
      <x:c r="R32" s="17" t="n">
        <x:f>IF(ISNUMBER(Q32),Q32^2,"")</x:f>
        <x:v>0</x:v>
      </x:c>
      <x:c r="S32" s="19" t="str">
        <x:f>IF(AND(B32=1,$B$69&gt;0,ISNUMBER(R32)),R32/$B$69,"")</x:f>
      </x:c>
      <x:c r="T32" s="20" t="str">
        <x:f>IF(AND(B32=1,ISNUMBER(R32)),COUNTIFS($R$6:$R$65,"&gt;"&amp;R32,$B$6:$B$65,1)+COUNTIFS($R$6:R32,R32,$B$6:B32,1),"")</x:f>
      </x:c>
      <x:c r="U32" s="17" t="n">
        <x:f>IF(B32=0,0,IF(AND(ISNUMBER(N32),ISNUMBER(F32),ISNUMBER(G32)),MIN(N32*F32,N32*G32),""))</x:f>
        <x:v>0</x:v>
      </x:c>
      <x:c r="V32" s="17" t="n">
        <x:f>IF(B32=0,0,IF(AND(ISNUMBER(N32),ISNUMBER(F32),ISNUMBER(G32)),MAX(N32*F32,N32*G32),""))</x:f>
        <x:v>0</x:v>
      </x:c>
      <x:c r="W32" s="2" t="str">
        <x:f>IF(B32=0,"OFF",IF(B32&lt;&gt;1,"Use Include 1 or 0",IF(OR(C32="",E32=""),"Enter name and unit",IF(OR(NOT(ISNUMBER(F32)),NOT(ISNUMBER(G32)),G32&lt;=F32),"Review deviation limits",IF(NOT(ISNUMBER(K32)),"Enter mean deviation",IF(AND(H32="Uniform",ABS(K32-(F32+G32)/2)&gt;0.000000001),"Uniform mean = midpoint",IF(NOT(ISNUMBER(O32)),"Review sigma inputs",IF(AND(L32="Locator",OR(E32&lt;&gt;"mm",'Setup'!$D$7&lt;&gt;"mm")),"Locator units must be mm",IF(NOT(ISNUMBER(N32)),"Review coefficient","OK")))))))))</x:f>
        <x:v>OFF</x:v>
      </x:c>
      <x:c r="X32" s="12"/>
    </x:row>
    <x:row r="33" ht="23" customHeight="1">
      <x:c r="A33" s="2" t="str">
        <x:v>SRC028</x:v>
      </x:c>
      <x:c r="B33" s="12" t="n">
        <x:v>0</x:v>
      </x:c>
      <x:c r="C33" s="12" t="str"/>
      <x:c r="D33" s="12" t="str"/>
      <x:c r="E33" s="12" t="str">
        <x:v>mm</x:v>
      </x:c>
      <x:c r="F33" s="21" t="n">
        <x:v>-0.3</x:v>
      </x:c>
      <x:c r="G33" s="21" t="n">
        <x:v>0.3</x:v>
      </x:c>
      <x:c r="H33" s="21" t="str">
        <x:v>Normal</x:v>
      </x:c>
      <x:c r="I33" s="22" t="n">
        <x:v>3</x:v>
      </x:c>
      <x:c r="J33" s="21" t="n">
        <x:v>0</x:v>
      </x:c>
      <x:c r="K33" s="21" t="n">
        <x:v>0</x:v>
      </x:c>
      <x:c r="L33" s="12" t="str">
        <x:v>Manual</x:v>
      </x:c>
      <x:c r="M33" s="12" t="n">
        <x:v>0</x:v>
      </x:c>
      <x:c r="N33" s="17" t="n">
        <x:f>IF(B33=0,0,IF(L33="Manual",IF(ISNUMBER(M33),M33,""),IF(L33="Locator",IF(AND('Locator'!$B$22="OK",COUNTIFS('Locator'!$A$31:$A$36,A33)=1),-INDEX('Locator'!$H$31:$H$36,MATCH(A33,'Locator'!$A$31:$A$36,0)),""),IF(L33="Perturbation",IF(ISNUMBER(INDEX('Sensitivity'!$H$6:$H$65,MATCH(A33,'Sensitivity'!$A$6:$A$65,0))),INDEX('Sensitivity'!$H$6:$H$65,MATCH(A33,'Sensitivity'!$A$6:$A$65,0)),""),""))))</x:f>
        <x:v>0</x:v>
      </x:c>
      <x:c r="O33" s="17" t="n">
        <x:f>IF(B33=0,0,IF(H33="Normal",IF(AND(ISNUMBER(F33),ISNUMBER(G33),ISNUMBER(I33),I33&gt;0,G33&gt;F33),(G33-F33)/(2*I33),""),IF(H33="Uniform",IF(AND(ISNUMBER(F33),ISNUMBER(G33),G33&gt;F33),(G33-F33)/SQRT(12),""),IF(H33="Measured",IF(AND(ISNUMBER(J33),J33&gt;=0),J33,""),""))))</x:f>
        <x:v>0</x:v>
      </x:c>
      <x:c r="P33" s="17" t="n">
        <x:f>IF(B33=0,0,IF(AND(ISNUMBER(N33),ISNUMBER(K33)),N33*K33,""))</x:f>
        <x:v>0</x:v>
      </x:c>
      <x:c r="Q33" s="17" t="n">
        <x:f>IF(B33=0,0,IF(AND(ISNUMBER(N33),ISNUMBER(O33)),N33*O33,""))</x:f>
        <x:v>0</x:v>
      </x:c>
      <x:c r="R33" s="17" t="n">
        <x:f>IF(ISNUMBER(Q33),Q33^2,"")</x:f>
        <x:v>0</x:v>
      </x:c>
      <x:c r="S33" s="19" t="str">
        <x:f>IF(AND(B33=1,$B$69&gt;0,ISNUMBER(R33)),R33/$B$69,"")</x:f>
      </x:c>
      <x:c r="T33" s="20" t="str">
        <x:f>IF(AND(B33=1,ISNUMBER(R33)),COUNTIFS($R$6:$R$65,"&gt;"&amp;R33,$B$6:$B$65,1)+COUNTIFS($R$6:R33,R33,$B$6:B33,1),"")</x:f>
      </x:c>
      <x:c r="U33" s="17" t="n">
        <x:f>IF(B33=0,0,IF(AND(ISNUMBER(N33),ISNUMBER(F33),ISNUMBER(G33)),MIN(N33*F33,N33*G33),""))</x:f>
        <x:v>0</x:v>
      </x:c>
      <x:c r="V33" s="17" t="n">
        <x:f>IF(B33=0,0,IF(AND(ISNUMBER(N33),ISNUMBER(F33),ISNUMBER(G33)),MAX(N33*F33,N33*G33),""))</x:f>
        <x:v>0</x:v>
      </x:c>
      <x:c r="W33" s="2" t="str">
        <x:f>IF(B33=0,"OFF",IF(B33&lt;&gt;1,"Use Include 1 or 0",IF(OR(C33="",E33=""),"Enter name and unit",IF(OR(NOT(ISNUMBER(F33)),NOT(ISNUMBER(G33)),G33&lt;=F33),"Review deviation limits",IF(NOT(ISNUMBER(K33)),"Enter mean deviation",IF(AND(H33="Uniform",ABS(K33-(F33+G33)/2)&gt;0.000000001),"Uniform mean = midpoint",IF(NOT(ISNUMBER(O33)),"Review sigma inputs",IF(AND(L33="Locator",OR(E33&lt;&gt;"mm",'Setup'!$D$7&lt;&gt;"mm")),"Locator units must be mm",IF(NOT(ISNUMBER(N33)),"Review coefficient","OK")))))))))</x:f>
        <x:v>OFF</x:v>
      </x:c>
      <x:c r="X33" s="12"/>
    </x:row>
    <x:row r="34" ht="23" customHeight="1">
      <x:c r="A34" s="2" t="str">
        <x:v>SRC029</x:v>
      </x:c>
      <x:c r="B34" s="12" t="n">
        <x:v>0</x:v>
      </x:c>
      <x:c r="C34" s="12" t="str"/>
      <x:c r="D34" s="12" t="str"/>
      <x:c r="E34" s="12" t="str">
        <x:v>mm</x:v>
      </x:c>
      <x:c r="F34" s="21" t="n">
        <x:v>-0.3</x:v>
      </x:c>
      <x:c r="G34" s="21" t="n">
        <x:v>0.3</x:v>
      </x:c>
      <x:c r="H34" s="21" t="str">
        <x:v>Normal</x:v>
      </x:c>
      <x:c r="I34" s="22" t="n">
        <x:v>3</x:v>
      </x:c>
      <x:c r="J34" s="21" t="n">
        <x:v>0</x:v>
      </x:c>
      <x:c r="K34" s="21" t="n">
        <x:v>0</x:v>
      </x:c>
      <x:c r="L34" s="12" t="str">
        <x:v>Manual</x:v>
      </x:c>
      <x:c r="M34" s="12" t="n">
        <x:v>0</x:v>
      </x:c>
      <x:c r="N34" s="17" t="n">
        <x:f>IF(B34=0,0,IF(L34="Manual",IF(ISNUMBER(M34),M34,""),IF(L34="Locator",IF(AND('Locator'!$B$22="OK",COUNTIFS('Locator'!$A$31:$A$36,A34)=1),-INDEX('Locator'!$H$31:$H$36,MATCH(A34,'Locator'!$A$31:$A$36,0)),""),IF(L34="Perturbation",IF(ISNUMBER(INDEX('Sensitivity'!$H$6:$H$65,MATCH(A34,'Sensitivity'!$A$6:$A$65,0))),INDEX('Sensitivity'!$H$6:$H$65,MATCH(A34,'Sensitivity'!$A$6:$A$65,0)),""),""))))</x:f>
        <x:v>0</x:v>
      </x:c>
      <x:c r="O34" s="17" t="n">
        <x:f>IF(B34=0,0,IF(H34="Normal",IF(AND(ISNUMBER(F34),ISNUMBER(G34),ISNUMBER(I34),I34&gt;0,G34&gt;F34),(G34-F34)/(2*I34),""),IF(H34="Uniform",IF(AND(ISNUMBER(F34),ISNUMBER(G34),G34&gt;F34),(G34-F34)/SQRT(12),""),IF(H34="Measured",IF(AND(ISNUMBER(J34),J34&gt;=0),J34,""),""))))</x:f>
        <x:v>0</x:v>
      </x:c>
      <x:c r="P34" s="17" t="n">
        <x:f>IF(B34=0,0,IF(AND(ISNUMBER(N34),ISNUMBER(K34)),N34*K34,""))</x:f>
        <x:v>0</x:v>
      </x:c>
      <x:c r="Q34" s="17" t="n">
        <x:f>IF(B34=0,0,IF(AND(ISNUMBER(N34),ISNUMBER(O34)),N34*O34,""))</x:f>
        <x:v>0</x:v>
      </x:c>
      <x:c r="R34" s="17" t="n">
        <x:f>IF(ISNUMBER(Q34),Q34^2,"")</x:f>
        <x:v>0</x:v>
      </x:c>
      <x:c r="S34" s="19" t="str">
        <x:f>IF(AND(B34=1,$B$69&gt;0,ISNUMBER(R34)),R34/$B$69,"")</x:f>
      </x:c>
      <x:c r="T34" s="20" t="str">
        <x:f>IF(AND(B34=1,ISNUMBER(R34)),COUNTIFS($R$6:$R$65,"&gt;"&amp;R34,$B$6:$B$65,1)+COUNTIFS($R$6:R34,R34,$B$6:B34,1),"")</x:f>
      </x:c>
      <x:c r="U34" s="17" t="n">
        <x:f>IF(B34=0,0,IF(AND(ISNUMBER(N34),ISNUMBER(F34),ISNUMBER(G34)),MIN(N34*F34,N34*G34),""))</x:f>
        <x:v>0</x:v>
      </x:c>
      <x:c r="V34" s="17" t="n">
        <x:f>IF(B34=0,0,IF(AND(ISNUMBER(N34),ISNUMBER(F34),ISNUMBER(G34)),MAX(N34*F34,N34*G34),""))</x:f>
        <x:v>0</x:v>
      </x:c>
      <x:c r="W34" s="2" t="str">
        <x:f>IF(B34=0,"OFF",IF(B34&lt;&gt;1,"Use Include 1 or 0",IF(OR(C34="",E34=""),"Enter name and unit",IF(OR(NOT(ISNUMBER(F34)),NOT(ISNUMBER(G34)),G34&lt;=F34),"Review deviation limits",IF(NOT(ISNUMBER(K34)),"Enter mean deviation",IF(AND(H34="Uniform",ABS(K34-(F34+G34)/2)&gt;0.000000001),"Uniform mean = midpoint",IF(NOT(ISNUMBER(O34)),"Review sigma inputs",IF(AND(L34="Locator",OR(E34&lt;&gt;"mm",'Setup'!$D$7&lt;&gt;"mm")),"Locator units must be mm",IF(NOT(ISNUMBER(N34)),"Review coefficient","OK")))))))))</x:f>
        <x:v>OFF</x:v>
      </x:c>
      <x:c r="X34" s="12"/>
    </x:row>
    <x:row r="35" ht="23" customHeight="1">
      <x:c r="A35" s="2" t="str">
        <x:v>SRC030</x:v>
      </x:c>
      <x:c r="B35" s="12" t="n">
        <x:v>0</x:v>
      </x:c>
      <x:c r="C35" s="12" t="str"/>
      <x:c r="D35" s="12" t="str"/>
      <x:c r="E35" s="12" t="str">
        <x:v>mm</x:v>
      </x:c>
      <x:c r="F35" s="21" t="n">
        <x:v>-0.3</x:v>
      </x:c>
      <x:c r="G35" s="21" t="n">
        <x:v>0.3</x:v>
      </x:c>
      <x:c r="H35" s="21" t="str">
        <x:v>Normal</x:v>
      </x:c>
      <x:c r="I35" s="22" t="n">
        <x:v>3</x:v>
      </x:c>
      <x:c r="J35" s="21" t="n">
        <x:v>0</x:v>
      </x:c>
      <x:c r="K35" s="21" t="n">
        <x:v>0</x:v>
      </x:c>
      <x:c r="L35" s="12" t="str">
        <x:v>Manual</x:v>
      </x:c>
      <x:c r="M35" s="12" t="n">
        <x:v>0</x:v>
      </x:c>
      <x:c r="N35" s="17" t="n">
        <x:f>IF(B35=0,0,IF(L35="Manual",IF(ISNUMBER(M35),M35,""),IF(L35="Locator",IF(AND('Locator'!$B$22="OK",COUNTIFS('Locator'!$A$31:$A$36,A35)=1),-INDEX('Locator'!$H$31:$H$36,MATCH(A35,'Locator'!$A$31:$A$36,0)),""),IF(L35="Perturbation",IF(ISNUMBER(INDEX('Sensitivity'!$H$6:$H$65,MATCH(A35,'Sensitivity'!$A$6:$A$65,0))),INDEX('Sensitivity'!$H$6:$H$65,MATCH(A35,'Sensitivity'!$A$6:$A$65,0)),""),""))))</x:f>
        <x:v>0</x:v>
      </x:c>
      <x:c r="O35" s="17" t="n">
        <x:f>IF(B35=0,0,IF(H35="Normal",IF(AND(ISNUMBER(F35),ISNUMBER(G35),ISNUMBER(I35),I35&gt;0,G35&gt;F35),(G35-F35)/(2*I35),""),IF(H35="Uniform",IF(AND(ISNUMBER(F35),ISNUMBER(G35),G35&gt;F35),(G35-F35)/SQRT(12),""),IF(H35="Measured",IF(AND(ISNUMBER(J35),J35&gt;=0),J35,""),""))))</x:f>
        <x:v>0</x:v>
      </x:c>
      <x:c r="P35" s="17" t="n">
        <x:f>IF(B35=0,0,IF(AND(ISNUMBER(N35),ISNUMBER(K35)),N35*K35,""))</x:f>
        <x:v>0</x:v>
      </x:c>
      <x:c r="Q35" s="17" t="n">
        <x:f>IF(B35=0,0,IF(AND(ISNUMBER(N35),ISNUMBER(O35)),N35*O35,""))</x:f>
        <x:v>0</x:v>
      </x:c>
      <x:c r="R35" s="17" t="n">
        <x:f>IF(ISNUMBER(Q35),Q35^2,"")</x:f>
        <x:v>0</x:v>
      </x:c>
      <x:c r="S35" s="19" t="str">
        <x:f>IF(AND(B35=1,$B$69&gt;0,ISNUMBER(R35)),R35/$B$69,"")</x:f>
      </x:c>
      <x:c r="T35" s="20" t="str">
        <x:f>IF(AND(B35=1,ISNUMBER(R35)),COUNTIFS($R$6:$R$65,"&gt;"&amp;R35,$B$6:$B$65,1)+COUNTIFS($R$6:R35,R35,$B$6:B35,1),"")</x:f>
      </x:c>
      <x:c r="U35" s="17" t="n">
        <x:f>IF(B35=0,0,IF(AND(ISNUMBER(N35),ISNUMBER(F35),ISNUMBER(G35)),MIN(N35*F35,N35*G35),""))</x:f>
        <x:v>0</x:v>
      </x:c>
      <x:c r="V35" s="17" t="n">
        <x:f>IF(B35=0,0,IF(AND(ISNUMBER(N35),ISNUMBER(F35),ISNUMBER(G35)),MAX(N35*F35,N35*G35),""))</x:f>
        <x:v>0</x:v>
      </x:c>
      <x:c r="W35" s="2" t="str">
        <x:f>IF(B35=0,"OFF",IF(B35&lt;&gt;1,"Use Include 1 or 0",IF(OR(C35="",E35=""),"Enter name and unit",IF(OR(NOT(ISNUMBER(F35)),NOT(ISNUMBER(G35)),G35&lt;=F35),"Review deviation limits",IF(NOT(ISNUMBER(K35)),"Enter mean deviation",IF(AND(H35="Uniform",ABS(K35-(F35+G35)/2)&gt;0.000000001),"Uniform mean = midpoint",IF(NOT(ISNUMBER(O35)),"Review sigma inputs",IF(AND(L35="Locator",OR(E35&lt;&gt;"mm",'Setup'!$D$7&lt;&gt;"mm")),"Locator units must be mm",IF(NOT(ISNUMBER(N35)),"Review coefficient","OK")))))))))</x:f>
        <x:v>OFF</x:v>
      </x:c>
      <x:c r="X35" s="12"/>
    </x:row>
    <x:row r="36" ht="23" customHeight="1">
      <x:c r="A36" s="2" t="str">
        <x:v>SRC031</x:v>
      </x:c>
      <x:c r="B36" s="12" t="n">
        <x:v>0</x:v>
      </x:c>
      <x:c r="C36" s="12" t="str"/>
      <x:c r="D36" s="12" t="str"/>
      <x:c r="E36" s="12" t="str">
        <x:v>mm</x:v>
      </x:c>
      <x:c r="F36" s="21" t="n">
        <x:v>-0.3</x:v>
      </x:c>
      <x:c r="G36" s="21" t="n">
        <x:v>0.3</x:v>
      </x:c>
      <x:c r="H36" s="21" t="str">
        <x:v>Normal</x:v>
      </x:c>
      <x:c r="I36" s="22" t="n">
        <x:v>3</x:v>
      </x:c>
      <x:c r="J36" s="21" t="n">
        <x:v>0</x:v>
      </x:c>
      <x:c r="K36" s="21" t="n">
        <x:v>0</x:v>
      </x:c>
      <x:c r="L36" s="12" t="str">
        <x:v>Manual</x:v>
      </x:c>
      <x:c r="M36" s="12" t="n">
        <x:v>0</x:v>
      </x:c>
      <x:c r="N36" s="17" t="n">
        <x:f>IF(B36=0,0,IF(L36="Manual",IF(ISNUMBER(M36),M36,""),IF(L36="Locator",IF(AND('Locator'!$B$22="OK",COUNTIFS('Locator'!$A$31:$A$36,A36)=1),-INDEX('Locator'!$H$31:$H$36,MATCH(A36,'Locator'!$A$31:$A$36,0)),""),IF(L36="Perturbation",IF(ISNUMBER(INDEX('Sensitivity'!$H$6:$H$65,MATCH(A36,'Sensitivity'!$A$6:$A$65,0))),INDEX('Sensitivity'!$H$6:$H$65,MATCH(A36,'Sensitivity'!$A$6:$A$65,0)),""),""))))</x:f>
        <x:v>0</x:v>
      </x:c>
      <x:c r="O36" s="17" t="n">
        <x:f>IF(B36=0,0,IF(H36="Normal",IF(AND(ISNUMBER(F36),ISNUMBER(G36),ISNUMBER(I36),I36&gt;0,G36&gt;F36),(G36-F36)/(2*I36),""),IF(H36="Uniform",IF(AND(ISNUMBER(F36),ISNUMBER(G36),G36&gt;F36),(G36-F36)/SQRT(12),""),IF(H36="Measured",IF(AND(ISNUMBER(J36),J36&gt;=0),J36,""),""))))</x:f>
        <x:v>0</x:v>
      </x:c>
      <x:c r="P36" s="17" t="n">
        <x:f>IF(B36=0,0,IF(AND(ISNUMBER(N36),ISNUMBER(K36)),N36*K36,""))</x:f>
        <x:v>0</x:v>
      </x:c>
      <x:c r="Q36" s="17" t="n">
        <x:f>IF(B36=0,0,IF(AND(ISNUMBER(N36),ISNUMBER(O36)),N36*O36,""))</x:f>
        <x:v>0</x:v>
      </x:c>
      <x:c r="R36" s="17" t="n">
        <x:f>IF(ISNUMBER(Q36),Q36^2,"")</x:f>
        <x:v>0</x:v>
      </x:c>
      <x:c r="S36" s="19" t="str">
        <x:f>IF(AND(B36=1,$B$69&gt;0,ISNUMBER(R36)),R36/$B$69,"")</x:f>
      </x:c>
      <x:c r="T36" s="20" t="str">
        <x:f>IF(AND(B36=1,ISNUMBER(R36)),COUNTIFS($R$6:$R$65,"&gt;"&amp;R36,$B$6:$B$65,1)+COUNTIFS($R$6:R36,R36,$B$6:B36,1),"")</x:f>
      </x:c>
      <x:c r="U36" s="17" t="n">
        <x:f>IF(B36=0,0,IF(AND(ISNUMBER(N36),ISNUMBER(F36),ISNUMBER(G36)),MIN(N36*F36,N36*G36),""))</x:f>
        <x:v>0</x:v>
      </x:c>
      <x:c r="V36" s="17" t="n">
        <x:f>IF(B36=0,0,IF(AND(ISNUMBER(N36),ISNUMBER(F36),ISNUMBER(G36)),MAX(N36*F36,N36*G36),""))</x:f>
        <x:v>0</x:v>
      </x:c>
      <x:c r="W36" s="2" t="str">
        <x:f>IF(B36=0,"OFF",IF(B36&lt;&gt;1,"Use Include 1 or 0",IF(OR(C36="",E36=""),"Enter name and unit",IF(OR(NOT(ISNUMBER(F36)),NOT(ISNUMBER(G36)),G36&lt;=F36),"Review deviation limits",IF(NOT(ISNUMBER(K36)),"Enter mean deviation",IF(AND(H36="Uniform",ABS(K36-(F36+G36)/2)&gt;0.000000001),"Uniform mean = midpoint",IF(NOT(ISNUMBER(O36)),"Review sigma inputs",IF(AND(L36="Locator",OR(E36&lt;&gt;"mm",'Setup'!$D$7&lt;&gt;"mm")),"Locator units must be mm",IF(NOT(ISNUMBER(N36)),"Review coefficient","OK")))))))))</x:f>
        <x:v>OFF</x:v>
      </x:c>
      <x:c r="X36" s="12"/>
    </x:row>
    <x:row r="37" ht="23" customHeight="1">
      <x:c r="A37" s="2" t="str">
        <x:v>SRC032</x:v>
      </x:c>
      <x:c r="B37" s="12" t="n">
        <x:v>0</x:v>
      </x:c>
      <x:c r="C37" s="12" t="str"/>
      <x:c r="D37" s="12" t="str"/>
      <x:c r="E37" s="12" t="str">
        <x:v>mm</x:v>
      </x:c>
      <x:c r="F37" s="21" t="n">
        <x:v>-0.3</x:v>
      </x:c>
      <x:c r="G37" s="21" t="n">
        <x:v>0.3</x:v>
      </x:c>
      <x:c r="H37" s="21" t="str">
        <x:v>Normal</x:v>
      </x:c>
      <x:c r="I37" s="22" t="n">
        <x:v>3</x:v>
      </x:c>
      <x:c r="J37" s="21" t="n">
        <x:v>0</x:v>
      </x:c>
      <x:c r="K37" s="21" t="n">
        <x:v>0</x:v>
      </x:c>
      <x:c r="L37" s="12" t="str">
        <x:v>Manual</x:v>
      </x:c>
      <x:c r="M37" s="12" t="n">
        <x:v>0</x:v>
      </x:c>
      <x:c r="N37" s="17" t="n">
        <x:f>IF(B37=0,0,IF(L37="Manual",IF(ISNUMBER(M37),M37,""),IF(L37="Locator",IF(AND('Locator'!$B$22="OK",COUNTIFS('Locator'!$A$31:$A$36,A37)=1),-INDEX('Locator'!$H$31:$H$36,MATCH(A37,'Locator'!$A$31:$A$36,0)),""),IF(L37="Perturbation",IF(ISNUMBER(INDEX('Sensitivity'!$H$6:$H$65,MATCH(A37,'Sensitivity'!$A$6:$A$65,0))),INDEX('Sensitivity'!$H$6:$H$65,MATCH(A37,'Sensitivity'!$A$6:$A$65,0)),""),""))))</x:f>
        <x:v>0</x:v>
      </x:c>
      <x:c r="O37" s="17" t="n">
        <x:f>IF(B37=0,0,IF(H37="Normal",IF(AND(ISNUMBER(F37),ISNUMBER(G37),ISNUMBER(I37),I37&gt;0,G37&gt;F37),(G37-F37)/(2*I37),""),IF(H37="Uniform",IF(AND(ISNUMBER(F37),ISNUMBER(G37),G37&gt;F37),(G37-F37)/SQRT(12),""),IF(H37="Measured",IF(AND(ISNUMBER(J37),J37&gt;=0),J37,""),""))))</x:f>
        <x:v>0</x:v>
      </x:c>
      <x:c r="P37" s="17" t="n">
        <x:f>IF(B37=0,0,IF(AND(ISNUMBER(N37),ISNUMBER(K37)),N37*K37,""))</x:f>
        <x:v>0</x:v>
      </x:c>
      <x:c r="Q37" s="17" t="n">
        <x:f>IF(B37=0,0,IF(AND(ISNUMBER(N37),ISNUMBER(O37)),N37*O37,""))</x:f>
        <x:v>0</x:v>
      </x:c>
      <x:c r="R37" s="17" t="n">
        <x:f>IF(ISNUMBER(Q37),Q37^2,"")</x:f>
        <x:v>0</x:v>
      </x:c>
      <x:c r="S37" s="19" t="str">
        <x:f>IF(AND(B37=1,$B$69&gt;0,ISNUMBER(R37)),R37/$B$69,"")</x:f>
      </x:c>
      <x:c r="T37" s="20" t="str">
        <x:f>IF(AND(B37=1,ISNUMBER(R37)),COUNTIFS($R$6:$R$65,"&gt;"&amp;R37,$B$6:$B$65,1)+COUNTIFS($R$6:R37,R37,$B$6:B37,1),"")</x:f>
      </x:c>
      <x:c r="U37" s="17" t="n">
        <x:f>IF(B37=0,0,IF(AND(ISNUMBER(N37),ISNUMBER(F37),ISNUMBER(G37)),MIN(N37*F37,N37*G37),""))</x:f>
        <x:v>0</x:v>
      </x:c>
      <x:c r="V37" s="17" t="n">
        <x:f>IF(B37=0,0,IF(AND(ISNUMBER(N37),ISNUMBER(F37),ISNUMBER(G37)),MAX(N37*F37,N37*G37),""))</x:f>
        <x:v>0</x:v>
      </x:c>
      <x:c r="W37" s="2" t="str">
        <x:f>IF(B37=0,"OFF",IF(B37&lt;&gt;1,"Use Include 1 or 0",IF(OR(C37="",E37=""),"Enter name and unit",IF(OR(NOT(ISNUMBER(F37)),NOT(ISNUMBER(G37)),G37&lt;=F37),"Review deviation limits",IF(NOT(ISNUMBER(K37)),"Enter mean deviation",IF(AND(H37="Uniform",ABS(K37-(F37+G37)/2)&gt;0.000000001),"Uniform mean = midpoint",IF(NOT(ISNUMBER(O37)),"Review sigma inputs",IF(AND(L37="Locator",OR(E37&lt;&gt;"mm",'Setup'!$D$7&lt;&gt;"mm")),"Locator units must be mm",IF(NOT(ISNUMBER(N37)),"Review coefficient","OK")))))))))</x:f>
        <x:v>OFF</x:v>
      </x:c>
      <x:c r="X37" s="12"/>
    </x:row>
    <x:row r="38" ht="23" customHeight="1">
      <x:c r="A38" s="2" t="str">
        <x:v>SRC033</x:v>
      </x:c>
      <x:c r="B38" s="12" t="n">
        <x:v>0</x:v>
      </x:c>
      <x:c r="C38" s="12" t="str"/>
      <x:c r="D38" s="12" t="str"/>
      <x:c r="E38" s="12" t="str">
        <x:v>mm</x:v>
      </x:c>
      <x:c r="F38" s="21" t="n">
        <x:v>-0.3</x:v>
      </x:c>
      <x:c r="G38" s="21" t="n">
        <x:v>0.3</x:v>
      </x:c>
      <x:c r="H38" s="21" t="str">
        <x:v>Normal</x:v>
      </x:c>
      <x:c r="I38" s="22" t="n">
        <x:v>3</x:v>
      </x:c>
      <x:c r="J38" s="21" t="n">
        <x:v>0</x:v>
      </x:c>
      <x:c r="K38" s="21" t="n">
        <x:v>0</x:v>
      </x:c>
      <x:c r="L38" s="12" t="str">
        <x:v>Manual</x:v>
      </x:c>
      <x:c r="M38" s="12" t="n">
        <x:v>0</x:v>
      </x:c>
      <x:c r="N38" s="17" t="n">
        <x:f>IF(B38=0,0,IF(L38="Manual",IF(ISNUMBER(M38),M38,""),IF(L38="Locator",IF(AND('Locator'!$B$22="OK",COUNTIFS('Locator'!$A$31:$A$36,A38)=1),-INDEX('Locator'!$H$31:$H$36,MATCH(A38,'Locator'!$A$31:$A$36,0)),""),IF(L38="Perturbation",IF(ISNUMBER(INDEX('Sensitivity'!$H$6:$H$65,MATCH(A38,'Sensitivity'!$A$6:$A$65,0))),INDEX('Sensitivity'!$H$6:$H$65,MATCH(A38,'Sensitivity'!$A$6:$A$65,0)),""),""))))</x:f>
        <x:v>0</x:v>
      </x:c>
      <x:c r="O38" s="17" t="n">
        <x:f>IF(B38=0,0,IF(H38="Normal",IF(AND(ISNUMBER(F38),ISNUMBER(G38),ISNUMBER(I38),I38&gt;0,G38&gt;F38),(G38-F38)/(2*I38),""),IF(H38="Uniform",IF(AND(ISNUMBER(F38),ISNUMBER(G38),G38&gt;F38),(G38-F38)/SQRT(12),""),IF(H38="Measured",IF(AND(ISNUMBER(J38),J38&gt;=0),J38,""),""))))</x:f>
        <x:v>0</x:v>
      </x:c>
      <x:c r="P38" s="17" t="n">
        <x:f>IF(B38=0,0,IF(AND(ISNUMBER(N38),ISNUMBER(K38)),N38*K38,""))</x:f>
        <x:v>0</x:v>
      </x:c>
      <x:c r="Q38" s="17" t="n">
        <x:f>IF(B38=0,0,IF(AND(ISNUMBER(N38),ISNUMBER(O38)),N38*O38,""))</x:f>
        <x:v>0</x:v>
      </x:c>
      <x:c r="R38" s="17" t="n">
        <x:f>IF(ISNUMBER(Q38),Q38^2,"")</x:f>
        <x:v>0</x:v>
      </x:c>
      <x:c r="S38" s="19" t="str">
        <x:f>IF(AND(B38=1,$B$69&gt;0,ISNUMBER(R38)),R38/$B$69,"")</x:f>
      </x:c>
      <x:c r="T38" s="20" t="str">
        <x:f>IF(AND(B38=1,ISNUMBER(R38)),COUNTIFS($R$6:$R$65,"&gt;"&amp;R38,$B$6:$B$65,1)+COUNTIFS($R$6:R38,R38,$B$6:B38,1),"")</x:f>
      </x:c>
      <x:c r="U38" s="17" t="n">
        <x:f>IF(B38=0,0,IF(AND(ISNUMBER(N38),ISNUMBER(F38),ISNUMBER(G38)),MIN(N38*F38,N38*G38),""))</x:f>
        <x:v>0</x:v>
      </x:c>
      <x:c r="V38" s="17" t="n">
        <x:f>IF(B38=0,0,IF(AND(ISNUMBER(N38),ISNUMBER(F38),ISNUMBER(G38)),MAX(N38*F38,N38*G38),""))</x:f>
        <x:v>0</x:v>
      </x:c>
      <x:c r="W38" s="2" t="str">
        <x:f>IF(B38=0,"OFF",IF(B38&lt;&gt;1,"Use Include 1 or 0",IF(OR(C38="",E38=""),"Enter name and unit",IF(OR(NOT(ISNUMBER(F38)),NOT(ISNUMBER(G38)),G38&lt;=F38),"Review deviation limits",IF(NOT(ISNUMBER(K38)),"Enter mean deviation",IF(AND(H38="Uniform",ABS(K38-(F38+G38)/2)&gt;0.000000001),"Uniform mean = midpoint",IF(NOT(ISNUMBER(O38)),"Review sigma inputs",IF(AND(L38="Locator",OR(E38&lt;&gt;"mm",'Setup'!$D$7&lt;&gt;"mm")),"Locator units must be mm",IF(NOT(ISNUMBER(N38)),"Review coefficient","OK")))))))))</x:f>
        <x:v>OFF</x:v>
      </x:c>
      <x:c r="X38" s="12"/>
    </x:row>
    <x:row r="39" ht="23" customHeight="1">
      <x:c r="A39" s="2" t="str">
        <x:v>SRC034</x:v>
      </x:c>
      <x:c r="B39" s="12" t="n">
        <x:v>0</x:v>
      </x:c>
      <x:c r="C39" s="12" t="str"/>
      <x:c r="D39" s="12" t="str"/>
      <x:c r="E39" s="12" t="str">
        <x:v>mm</x:v>
      </x:c>
      <x:c r="F39" s="21" t="n">
        <x:v>-0.3</x:v>
      </x:c>
      <x:c r="G39" s="21" t="n">
        <x:v>0.3</x:v>
      </x:c>
      <x:c r="H39" s="21" t="str">
        <x:v>Normal</x:v>
      </x:c>
      <x:c r="I39" s="22" t="n">
        <x:v>3</x:v>
      </x:c>
      <x:c r="J39" s="21" t="n">
        <x:v>0</x:v>
      </x:c>
      <x:c r="K39" s="21" t="n">
        <x:v>0</x:v>
      </x:c>
      <x:c r="L39" s="12" t="str">
        <x:v>Manual</x:v>
      </x:c>
      <x:c r="M39" s="12" t="n">
        <x:v>0</x:v>
      </x:c>
      <x:c r="N39" s="17" t="n">
        <x:f>IF(B39=0,0,IF(L39="Manual",IF(ISNUMBER(M39),M39,""),IF(L39="Locator",IF(AND('Locator'!$B$22="OK",COUNTIFS('Locator'!$A$31:$A$36,A39)=1),-INDEX('Locator'!$H$31:$H$36,MATCH(A39,'Locator'!$A$31:$A$36,0)),""),IF(L39="Perturbation",IF(ISNUMBER(INDEX('Sensitivity'!$H$6:$H$65,MATCH(A39,'Sensitivity'!$A$6:$A$65,0))),INDEX('Sensitivity'!$H$6:$H$65,MATCH(A39,'Sensitivity'!$A$6:$A$65,0)),""),""))))</x:f>
        <x:v>0</x:v>
      </x:c>
      <x:c r="O39" s="17" t="n">
        <x:f>IF(B39=0,0,IF(H39="Normal",IF(AND(ISNUMBER(F39),ISNUMBER(G39),ISNUMBER(I39),I39&gt;0,G39&gt;F39),(G39-F39)/(2*I39),""),IF(H39="Uniform",IF(AND(ISNUMBER(F39),ISNUMBER(G39),G39&gt;F39),(G39-F39)/SQRT(12),""),IF(H39="Measured",IF(AND(ISNUMBER(J39),J39&gt;=0),J39,""),""))))</x:f>
        <x:v>0</x:v>
      </x:c>
      <x:c r="P39" s="17" t="n">
        <x:f>IF(B39=0,0,IF(AND(ISNUMBER(N39),ISNUMBER(K39)),N39*K39,""))</x:f>
        <x:v>0</x:v>
      </x:c>
      <x:c r="Q39" s="17" t="n">
        <x:f>IF(B39=0,0,IF(AND(ISNUMBER(N39),ISNUMBER(O39)),N39*O39,""))</x:f>
        <x:v>0</x:v>
      </x:c>
      <x:c r="R39" s="17" t="n">
        <x:f>IF(ISNUMBER(Q39),Q39^2,"")</x:f>
        <x:v>0</x:v>
      </x:c>
      <x:c r="S39" s="19" t="str">
        <x:f>IF(AND(B39=1,$B$69&gt;0,ISNUMBER(R39)),R39/$B$69,"")</x:f>
      </x:c>
      <x:c r="T39" s="20" t="str">
        <x:f>IF(AND(B39=1,ISNUMBER(R39)),COUNTIFS($R$6:$R$65,"&gt;"&amp;R39,$B$6:$B$65,1)+COUNTIFS($R$6:R39,R39,$B$6:B39,1),"")</x:f>
      </x:c>
      <x:c r="U39" s="17" t="n">
        <x:f>IF(B39=0,0,IF(AND(ISNUMBER(N39),ISNUMBER(F39),ISNUMBER(G39)),MIN(N39*F39,N39*G39),""))</x:f>
        <x:v>0</x:v>
      </x:c>
      <x:c r="V39" s="17" t="n">
        <x:f>IF(B39=0,0,IF(AND(ISNUMBER(N39),ISNUMBER(F39),ISNUMBER(G39)),MAX(N39*F39,N39*G39),""))</x:f>
        <x:v>0</x:v>
      </x:c>
      <x:c r="W39" s="2" t="str">
        <x:f>IF(B39=0,"OFF",IF(B39&lt;&gt;1,"Use Include 1 or 0",IF(OR(C39="",E39=""),"Enter name and unit",IF(OR(NOT(ISNUMBER(F39)),NOT(ISNUMBER(G39)),G39&lt;=F39),"Review deviation limits",IF(NOT(ISNUMBER(K39)),"Enter mean deviation",IF(AND(H39="Uniform",ABS(K39-(F39+G39)/2)&gt;0.000000001),"Uniform mean = midpoint",IF(NOT(ISNUMBER(O39)),"Review sigma inputs",IF(AND(L39="Locator",OR(E39&lt;&gt;"mm",'Setup'!$D$7&lt;&gt;"mm")),"Locator units must be mm",IF(NOT(ISNUMBER(N39)),"Review coefficient","OK")))))))))</x:f>
        <x:v>OFF</x:v>
      </x:c>
      <x:c r="X39" s="12"/>
    </x:row>
    <x:row r="40" ht="23" customHeight="1">
      <x:c r="A40" s="2" t="str">
        <x:v>SRC035</x:v>
      </x:c>
      <x:c r="B40" s="12" t="n">
        <x:v>0</x:v>
      </x:c>
      <x:c r="C40" s="12" t="str"/>
      <x:c r="D40" s="12" t="str"/>
      <x:c r="E40" s="12" t="str">
        <x:v>mm</x:v>
      </x:c>
      <x:c r="F40" s="21" t="n">
        <x:v>-0.3</x:v>
      </x:c>
      <x:c r="G40" s="21" t="n">
        <x:v>0.3</x:v>
      </x:c>
      <x:c r="H40" s="21" t="str">
        <x:v>Normal</x:v>
      </x:c>
      <x:c r="I40" s="22" t="n">
        <x:v>3</x:v>
      </x:c>
      <x:c r="J40" s="21" t="n">
        <x:v>0</x:v>
      </x:c>
      <x:c r="K40" s="21" t="n">
        <x:v>0</x:v>
      </x:c>
      <x:c r="L40" s="12" t="str">
        <x:v>Manual</x:v>
      </x:c>
      <x:c r="M40" s="12" t="n">
        <x:v>0</x:v>
      </x:c>
      <x:c r="N40" s="17" t="n">
        <x:f>IF(B40=0,0,IF(L40="Manual",IF(ISNUMBER(M40),M40,""),IF(L40="Locator",IF(AND('Locator'!$B$22="OK",COUNTIFS('Locator'!$A$31:$A$36,A40)=1),-INDEX('Locator'!$H$31:$H$36,MATCH(A40,'Locator'!$A$31:$A$36,0)),""),IF(L40="Perturbation",IF(ISNUMBER(INDEX('Sensitivity'!$H$6:$H$65,MATCH(A40,'Sensitivity'!$A$6:$A$65,0))),INDEX('Sensitivity'!$H$6:$H$65,MATCH(A40,'Sensitivity'!$A$6:$A$65,0)),""),""))))</x:f>
        <x:v>0</x:v>
      </x:c>
      <x:c r="O40" s="17" t="n">
        <x:f>IF(B40=0,0,IF(H40="Normal",IF(AND(ISNUMBER(F40),ISNUMBER(G40),ISNUMBER(I40),I40&gt;0,G40&gt;F40),(G40-F40)/(2*I40),""),IF(H40="Uniform",IF(AND(ISNUMBER(F40),ISNUMBER(G40),G40&gt;F40),(G40-F40)/SQRT(12),""),IF(H40="Measured",IF(AND(ISNUMBER(J40),J40&gt;=0),J40,""),""))))</x:f>
        <x:v>0</x:v>
      </x:c>
      <x:c r="P40" s="17" t="n">
        <x:f>IF(B40=0,0,IF(AND(ISNUMBER(N40),ISNUMBER(K40)),N40*K40,""))</x:f>
        <x:v>0</x:v>
      </x:c>
      <x:c r="Q40" s="17" t="n">
        <x:f>IF(B40=0,0,IF(AND(ISNUMBER(N40),ISNUMBER(O40)),N40*O40,""))</x:f>
        <x:v>0</x:v>
      </x:c>
      <x:c r="R40" s="17" t="n">
        <x:f>IF(ISNUMBER(Q40),Q40^2,"")</x:f>
        <x:v>0</x:v>
      </x:c>
      <x:c r="S40" s="19" t="str">
        <x:f>IF(AND(B40=1,$B$69&gt;0,ISNUMBER(R40)),R40/$B$69,"")</x:f>
      </x:c>
      <x:c r="T40" s="20" t="str">
        <x:f>IF(AND(B40=1,ISNUMBER(R40)),COUNTIFS($R$6:$R$65,"&gt;"&amp;R40,$B$6:$B$65,1)+COUNTIFS($R$6:R40,R40,$B$6:B40,1),"")</x:f>
      </x:c>
      <x:c r="U40" s="17" t="n">
        <x:f>IF(B40=0,0,IF(AND(ISNUMBER(N40),ISNUMBER(F40),ISNUMBER(G40)),MIN(N40*F40,N40*G40),""))</x:f>
        <x:v>0</x:v>
      </x:c>
      <x:c r="V40" s="17" t="n">
        <x:f>IF(B40=0,0,IF(AND(ISNUMBER(N40),ISNUMBER(F40),ISNUMBER(G40)),MAX(N40*F40,N40*G40),""))</x:f>
        <x:v>0</x:v>
      </x:c>
      <x:c r="W40" s="2" t="str">
        <x:f>IF(B40=0,"OFF",IF(B40&lt;&gt;1,"Use Include 1 or 0",IF(OR(C40="",E40=""),"Enter name and unit",IF(OR(NOT(ISNUMBER(F40)),NOT(ISNUMBER(G40)),G40&lt;=F40),"Review deviation limits",IF(NOT(ISNUMBER(K40)),"Enter mean deviation",IF(AND(H40="Uniform",ABS(K40-(F40+G40)/2)&gt;0.000000001),"Uniform mean = midpoint",IF(NOT(ISNUMBER(O40)),"Review sigma inputs",IF(AND(L40="Locator",OR(E40&lt;&gt;"mm",'Setup'!$D$7&lt;&gt;"mm")),"Locator units must be mm",IF(NOT(ISNUMBER(N40)),"Review coefficient","OK")))))))))</x:f>
        <x:v>OFF</x:v>
      </x:c>
      <x:c r="X40" s="12"/>
    </x:row>
    <x:row r="41" ht="23" customHeight="1">
      <x:c r="A41" s="2" t="str">
        <x:v>SRC036</x:v>
      </x:c>
      <x:c r="B41" s="12" t="n">
        <x:v>0</x:v>
      </x:c>
      <x:c r="C41" s="12" t="str"/>
      <x:c r="D41" s="12" t="str"/>
      <x:c r="E41" s="12" t="str">
        <x:v>mm</x:v>
      </x:c>
      <x:c r="F41" s="21" t="n">
        <x:v>-0.3</x:v>
      </x:c>
      <x:c r="G41" s="21" t="n">
        <x:v>0.3</x:v>
      </x:c>
      <x:c r="H41" s="21" t="str">
        <x:v>Normal</x:v>
      </x:c>
      <x:c r="I41" s="22" t="n">
        <x:v>3</x:v>
      </x:c>
      <x:c r="J41" s="21" t="n">
        <x:v>0</x:v>
      </x:c>
      <x:c r="K41" s="21" t="n">
        <x:v>0</x:v>
      </x:c>
      <x:c r="L41" s="12" t="str">
        <x:v>Manual</x:v>
      </x:c>
      <x:c r="M41" s="12" t="n">
        <x:v>0</x:v>
      </x:c>
      <x:c r="N41" s="17" t="n">
        <x:f>IF(B41=0,0,IF(L41="Manual",IF(ISNUMBER(M41),M41,""),IF(L41="Locator",IF(AND('Locator'!$B$22="OK",COUNTIFS('Locator'!$A$31:$A$36,A41)=1),-INDEX('Locator'!$H$31:$H$36,MATCH(A41,'Locator'!$A$31:$A$36,0)),""),IF(L41="Perturbation",IF(ISNUMBER(INDEX('Sensitivity'!$H$6:$H$65,MATCH(A41,'Sensitivity'!$A$6:$A$65,0))),INDEX('Sensitivity'!$H$6:$H$65,MATCH(A41,'Sensitivity'!$A$6:$A$65,0)),""),""))))</x:f>
        <x:v>0</x:v>
      </x:c>
      <x:c r="O41" s="17" t="n">
        <x:f>IF(B41=0,0,IF(H41="Normal",IF(AND(ISNUMBER(F41),ISNUMBER(G41),ISNUMBER(I41),I41&gt;0,G41&gt;F41),(G41-F41)/(2*I41),""),IF(H41="Uniform",IF(AND(ISNUMBER(F41),ISNUMBER(G41),G41&gt;F41),(G41-F41)/SQRT(12),""),IF(H41="Measured",IF(AND(ISNUMBER(J41),J41&gt;=0),J41,""),""))))</x:f>
        <x:v>0</x:v>
      </x:c>
      <x:c r="P41" s="17" t="n">
        <x:f>IF(B41=0,0,IF(AND(ISNUMBER(N41),ISNUMBER(K41)),N41*K41,""))</x:f>
        <x:v>0</x:v>
      </x:c>
      <x:c r="Q41" s="17" t="n">
        <x:f>IF(B41=0,0,IF(AND(ISNUMBER(N41),ISNUMBER(O41)),N41*O41,""))</x:f>
        <x:v>0</x:v>
      </x:c>
      <x:c r="R41" s="17" t="n">
        <x:f>IF(ISNUMBER(Q41),Q41^2,"")</x:f>
        <x:v>0</x:v>
      </x:c>
      <x:c r="S41" s="19" t="str">
        <x:f>IF(AND(B41=1,$B$69&gt;0,ISNUMBER(R41)),R41/$B$69,"")</x:f>
      </x:c>
      <x:c r="T41" s="20" t="str">
        <x:f>IF(AND(B41=1,ISNUMBER(R41)),COUNTIFS($R$6:$R$65,"&gt;"&amp;R41,$B$6:$B$65,1)+COUNTIFS($R$6:R41,R41,$B$6:B41,1),"")</x:f>
      </x:c>
      <x:c r="U41" s="17" t="n">
        <x:f>IF(B41=0,0,IF(AND(ISNUMBER(N41),ISNUMBER(F41),ISNUMBER(G41)),MIN(N41*F41,N41*G41),""))</x:f>
        <x:v>0</x:v>
      </x:c>
      <x:c r="V41" s="17" t="n">
        <x:f>IF(B41=0,0,IF(AND(ISNUMBER(N41),ISNUMBER(F41),ISNUMBER(G41)),MAX(N41*F41,N41*G41),""))</x:f>
        <x:v>0</x:v>
      </x:c>
      <x:c r="W41" s="2" t="str">
        <x:f>IF(B41=0,"OFF",IF(B41&lt;&gt;1,"Use Include 1 or 0",IF(OR(C41="",E41=""),"Enter name and unit",IF(OR(NOT(ISNUMBER(F41)),NOT(ISNUMBER(G41)),G41&lt;=F41),"Review deviation limits",IF(NOT(ISNUMBER(K41)),"Enter mean deviation",IF(AND(H41="Uniform",ABS(K41-(F41+G41)/2)&gt;0.000000001),"Uniform mean = midpoint",IF(NOT(ISNUMBER(O41)),"Review sigma inputs",IF(AND(L41="Locator",OR(E41&lt;&gt;"mm",'Setup'!$D$7&lt;&gt;"mm")),"Locator units must be mm",IF(NOT(ISNUMBER(N41)),"Review coefficient","OK")))))))))</x:f>
        <x:v>OFF</x:v>
      </x:c>
      <x:c r="X41" s="12"/>
    </x:row>
    <x:row r="42" ht="23" customHeight="1">
      <x:c r="A42" s="2" t="str">
        <x:v>SRC037</x:v>
      </x:c>
      <x:c r="B42" s="12" t="n">
        <x:v>0</x:v>
      </x:c>
      <x:c r="C42" s="12" t="str"/>
      <x:c r="D42" s="12" t="str"/>
      <x:c r="E42" s="12" t="str">
        <x:v>mm</x:v>
      </x:c>
      <x:c r="F42" s="21" t="n">
        <x:v>-0.3</x:v>
      </x:c>
      <x:c r="G42" s="21" t="n">
        <x:v>0.3</x:v>
      </x:c>
      <x:c r="H42" s="21" t="str">
        <x:v>Normal</x:v>
      </x:c>
      <x:c r="I42" s="22" t="n">
        <x:v>3</x:v>
      </x:c>
      <x:c r="J42" s="21" t="n">
        <x:v>0</x:v>
      </x:c>
      <x:c r="K42" s="21" t="n">
        <x:v>0</x:v>
      </x:c>
      <x:c r="L42" s="12" t="str">
        <x:v>Manual</x:v>
      </x:c>
      <x:c r="M42" s="12" t="n">
        <x:v>0</x:v>
      </x:c>
      <x:c r="N42" s="17" t="n">
        <x:f>IF(B42=0,0,IF(L42="Manual",IF(ISNUMBER(M42),M42,""),IF(L42="Locator",IF(AND('Locator'!$B$22="OK",COUNTIFS('Locator'!$A$31:$A$36,A42)=1),-INDEX('Locator'!$H$31:$H$36,MATCH(A42,'Locator'!$A$31:$A$36,0)),""),IF(L42="Perturbation",IF(ISNUMBER(INDEX('Sensitivity'!$H$6:$H$65,MATCH(A42,'Sensitivity'!$A$6:$A$65,0))),INDEX('Sensitivity'!$H$6:$H$65,MATCH(A42,'Sensitivity'!$A$6:$A$65,0)),""),""))))</x:f>
        <x:v>0</x:v>
      </x:c>
      <x:c r="O42" s="17" t="n">
        <x:f>IF(B42=0,0,IF(H42="Normal",IF(AND(ISNUMBER(F42),ISNUMBER(G42),ISNUMBER(I42),I42&gt;0,G42&gt;F42),(G42-F42)/(2*I42),""),IF(H42="Uniform",IF(AND(ISNUMBER(F42),ISNUMBER(G42),G42&gt;F42),(G42-F42)/SQRT(12),""),IF(H42="Measured",IF(AND(ISNUMBER(J42),J42&gt;=0),J42,""),""))))</x:f>
        <x:v>0</x:v>
      </x:c>
      <x:c r="P42" s="17" t="n">
        <x:f>IF(B42=0,0,IF(AND(ISNUMBER(N42),ISNUMBER(K42)),N42*K42,""))</x:f>
        <x:v>0</x:v>
      </x:c>
      <x:c r="Q42" s="17" t="n">
        <x:f>IF(B42=0,0,IF(AND(ISNUMBER(N42),ISNUMBER(O42)),N42*O42,""))</x:f>
        <x:v>0</x:v>
      </x:c>
      <x:c r="R42" s="17" t="n">
        <x:f>IF(ISNUMBER(Q42),Q42^2,"")</x:f>
        <x:v>0</x:v>
      </x:c>
      <x:c r="S42" s="19" t="str">
        <x:f>IF(AND(B42=1,$B$69&gt;0,ISNUMBER(R42)),R42/$B$69,"")</x:f>
      </x:c>
      <x:c r="T42" s="20" t="str">
        <x:f>IF(AND(B42=1,ISNUMBER(R42)),COUNTIFS($R$6:$R$65,"&gt;"&amp;R42,$B$6:$B$65,1)+COUNTIFS($R$6:R42,R42,$B$6:B42,1),"")</x:f>
      </x:c>
      <x:c r="U42" s="17" t="n">
        <x:f>IF(B42=0,0,IF(AND(ISNUMBER(N42),ISNUMBER(F42),ISNUMBER(G42)),MIN(N42*F42,N42*G42),""))</x:f>
        <x:v>0</x:v>
      </x:c>
      <x:c r="V42" s="17" t="n">
        <x:f>IF(B42=0,0,IF(AND(ISNUMBER(N42),ISNUMBER(F42),ISNUMBER(G42)),MAX(N42*F42,N42*G42),""))</x:f>
        <x:v>0</x:v>
      </x:c>
      <x:c r="W42" s="2" t="str">
        <x:f>IF(B42=0,"OFF",IF(B42&lt;&gt;1,"Use Include 1 or 0",IF(OR(C42="",E42=""),"Enter name and unit",IF(OR(NOT(ISNUMBER(F42)),NOT(ISNUMBER(G42)),G42&lt;=F42),"Review deviation limits",IF(NOT(ISNUMBER(K42)),"Enter mean deviation",IF(AND(H42="Uniform",ABS(K42-(F42+G42)/2)&gt;0.000000001),"Uniform mean = midpoint",IF(NOT(ISNUMBER(O42)),"Review sigma inputs",IF(AND(L42="Locator",OR(E42&lt;&gt;"mm",'Setup'!$D$7&lt;&gt;"mm")),"Locator units must be mm",IF(NOT(ISNUMBER(N42)),"Review coefficient","OK")))))))))</x:f>
        <x:v>OFF</x:v>
      </x:c>
      <x:c r="X42" s="12"/>
    </x:row>
    <x:row r="43" ht="23" customHeight="1">
      <x:c r="A43" s="2" t="str">
        <x:v>SRC038</x:v>
      </x:c>
      <x:c r="B43" s="12" t="n">
        <x:v>0</x:v>
      </x:c>
      <x:c r="C43" s="12" t="str"/>
      <x:c r="D43" s="12" t="str"/>
      <x:c r="E43" s="12" t="str">
        <x:v>mm</x:v>
      </x:c>
      <x:c r="F43" s="21" t="n">
        <x:v>-0.3</x:v>
      </x:c>
      <x:c r="G43" s="21" t="n">
        <x:v>0.3</x:v>
      </x:c>
      <x:c r="H43" s="21" t="str">
        <x:v>Normal</x:v>
      </x:c>
      <x:c r="I43" s="22" t="n">
        <x:v>3</x:v>
      </x:c>
      <x:c r="J43" s="21" t="n">
        <x:v>0</x:v>
      </x:c>
      <x:c r="K43" s="21" t="n">
        <x:v>0</x:v>
      </x:c>
      <x:c r="L43" s="12" t="str">
        <x:v>Manual</x:v>
      </x:c>
      <x:c r="M43" s="12" t="n">
        <x:v>0</x:v>
      </x:c>
      <x:c r="N43" s="17" t="n">
        <x:f>IF(B43=0,0,IF(L43="Manual",IF(ISNUMBER(M43),M43,""),IF(L43="Locator",IF(AND('Locator'!$B$22="OK",COUNTIFS('Locator'!$A$31:$A$36,A43)=1),-INDEX('Locator'!$H$31:$H$36,MATCH(A43,'Locator'!$A$31:$A$36,0)),""),IF(L43="Perturbation",IF(ISNUMBER(INDEX('Sensitivity'!$H$6:$H$65,MATCH(A43,'Sensitivity'!$A$6:$A$65,0))),INDEX('Sensitivity'!$H$6:$H$65,MATCH(A43,'Sensitivity'!$A$6:$A$65,0)),""),""))))</x:f>
        <x:v>0</x:v>
      </x:c>
      <x:c r="O43" s="17" t="n">
        <x:f>IF(B43=0,0,IF(H43="Normal",IF(AND(ISNUMBER(F43),ISNUMBER(G43),ISNUMBER(I43),I43&gt;0,G43&gt;F43),(G43-F43)/(2*I43),""),IF(H43="Uniform",IF(AND(ISNUMBER(F43),ISNUMBER(G43),G43&gt;F43),(G43-F43)/SQRT(12),""),IF(H43="Measured",IF(AND(ISNUMBER(J43),J43&gt;=0),J43,""),""))))</x:f>
        <x:v>0</x:v>
      </x:c>
      <x:c r="P43" s="17" t="n">
        <x:f>IF(B43=0,0,IF(AND(ISNUMBER(N43),ISNUMBER(K43)),N43*K43,""))</x:f>
        <x:v>0</x:v>
      </x:c>
      <x:c r="Q43" s="17" t="n">
        <x:f>IF(B43=0,0,IF(AND(ISNUMBER(N43),ISNUMBER(O43)),N43*O43,""))</x:f>
        <x:v>0</x:v>
      </x:c>
      <x:c r="R43" s="17" t="n">
        <x:f>IF(ISNUMBER(Q43),Q43^2,"")</x:f>
        <x:v>0</x:v>
      </x:c>
      <x:c r="S43" s="19" t="str">
        <x:f>IF(AND(B43=1,$B$69&gt;0,ISNUMBER(R43)),R43/$B$69,"")</x:f>
      </x:c>
      <x:c r="T43" s="20" t="str">
        <x:f>IF(AND(B43=1,ISNUMBER(R43)),COUNTIFS($R$6:$R$65,"&gt;"&amp;R43,$B$6:$B$65,1)+COUNTIFS($R$6:R43,R43,$B$6:B43,1),"")</x:f>
      </x:c>
      <x:c r="U43" s="17" t="n">
        <x:f>IF(B43=0,0,IF(AND(ISNUMBER(N43),ISNUMBER(F43),ISNUMBER(G43)),MIN(N43*F43,N43*G43),""))</x:f>
        <x:v>0</x:v>
      </x:c>
      <x:c r="V43" s="17" t="n">
        <x:f>IF(B43=0,0,IF(AND(ISNUMBER(N43),ISNUMBER(F43),ISNUMBER(G43)),MAX(N43*F43,N43*G43),""))</x:f>
        <x:v>0</x:v>
      </x:c>
      <x:c r="W43" s="2" t="str">
        <x:f>IF(B43=0,"OFF",IF(B43&lt;&gt;1,"Use Include 1 or 0",IF(OR(C43="",E43=""),"Enter name and unit",IF(OR(NOT(ISNUMBER(F43)),NOT(ISNUMBER(G43)),G43&lt;=F43),"Review deviation limits",IF(NOT(ISNUMBER(K43)),"Enter mean deviation",IF(AND(H43="Uniform",ABS(K43-(F43+G43)/2)&gt;0.000000001),"Uniform mean = midpoint",IF(NOT(ISNUMBER(O43)),"Review sigma inputs",IF(AND(L43="Locator",OR(E43&lt;&gt;"mm",'Setup'!$D$7&lt;&gt;"mm")),"Locator units must be mm",IF(NOT(ISNUMBER(N43)),"Review coefficient","OK")))))))))</x:f>
        <x:v>OFF</x:v>
      </x:c>
      <x:c r="X43" s="12"/>
    </x:row>
    <x:row r="44" ht="23" customHeight="1">
      <x:c r="A44" s="2" t="str">
        <x:v>SRC039</x:v>
      </x:c>
      <x:c r="B44" s="12" t="n">
        <x:v>0</x:v>
      </x:c>
      <x:c r="C44" s="12" t="str"/>
      <x:c r="D44" s="12" t="str"/>
      <x:c r="E44" s="12" t="str">
        <x:v>mm</x:v>
      </x:c>
      <x:c r="F44" s="21" t="n">
        <x:v>-0.3</x:v>
      </x:c>
      <x:c r="G44" s="21" t="n">
        <x:v>0.3</x:v>
      </x:c>
      <x:c r="H44" s="21" t="str">
        <x:v>Normal</x:v>
      </x:c>
      <x:c r="I44" s="22" t="n">
        <x:v>3</x:v>
      </x:c>
      <x:c r="J44" s="21" t="n">
        <x:v>0</x:v>
      </x:c>
      <x:c r="K44" s="21" t="n">
        <x:v>0</x:v>
      </x:c>
      <x:c r="L44" s="12" t="str">
        <x:v>Manual</x:v>
      </x:c>
      <x:c r="M44" s="12" t="n">
        <x:v>0</x:v>
      </x:c>
      <x:c r="N44" s="17" t="n">
        <x:f>IF(B44=0,0,IF(L44="Manual",IF(ISNUMBER(M44),M44,""),IF(L44="Locator",IF(AND('Locator'!$B$22="OK",COUNTIFS('Locator'!$A$31:$A$36,A44)=1),-INDEX('Locator'!$H$31:$H$36,MATCH(A44,'Locator'!$A$31:$A$36,0)),""),IF(L44="Perturbation",IF(ISNUMBER(INDEX('Sensitivity'!$H$6:$H$65,MATCH(A44,'Sensitivity'!$A$6:$A$65,0))),INDEX('Sensitivity'!$H$6:$H$65,MATCH(A44,'Sensitivity'!$A$6:$A$65,0)),""),""))))</x:f>
        <x:v>0</x:v>
      </x:c>
      <x:c r="O44" s="17" t="n">
        <x:f>IF(B44=0,0,IF(H44="Normal",IF(AND(ISNUMBER(F44),ISNUMBER(G44),ISNUMBER(I44),I44&gt;0,G44&gt;F44),(G44-F44)/(2*I44),""),IF(H44="Uniform",IF(AND(ISNUMBER(F44),ISNUMBER(G44),G44&gt;F44),(G44-F44)/SQRT(12),""),IF(H44="Measured",IF(AND(ISNUMBER(J44),J44&gt;=0),J44,""),""))))</x:f>
        <x:v>0</x:v>
      </x:c>
      <x:c r="P44" s="17" t="n">
        <x:f>IF(B44=0,0,IF(AND(ISNUMBER(N44),ISNUMBER(K44)),N44*K44,""))</x:f>
        <x:v>0</x:v>
      </x:c>
      <x:c r="Q44" s="17" t="n">
        <x:f>IF(B44=0,0,IF(AND(ISNUMBER(N44),ISNUMBER(O44)),N44*O44,""))</x:f>
        <x:v>0</x:v>
      </x:c>
      <x:c r="R44" s="17" t="n">
        <x:f>IF(ISNUMBER(Q44),Q44^2,"")</x:f>
        <x:v>0</x:v>
      </x:c>
      <x:c r="S44" s="19" t="str">
        <x:f>IF(AND(B44=1,$B$69&gt;0,ISNUMBER(R44)),R44/$B$69,"")</x:f>
      </x:c>
      <x:c r="T44" s="20" t="str">
        <x:f>IF(AND(B44=1,ISNUMBER(R44)),COUNTIFS($R$6:$R$65,"&gt;"&amp;R44,$B$6:$B$65,1)+COUNTIFS($R$6:R44,R44,$B$6:B44,1),"")</x:f>
      </x:c>
      <x:c r="U44" s="17" t="n">
        <x:f>IF(B44=0,0,IF(AND(ISNUMBER(N44),ISNUMBER(F44),ISNUMBER(G44)),MIN(N44*F44,N44*G44),""))</x:f>
        <x:v>0</x:v>
      </x:c>
      <x:c r="V44" s="17" t="n">
        <x:f>IF(B44=0,0,IF(AND(ISNUMBER(N44),ISNUMBER(F44),ISNUMBER(G44)),MAX(N44*F44,N44*G44),""))</x:f>
        <x:v>0</x:v>
      </x:c>
      <x:c r="W44" s="2" t="str">
        <x:f>IF(B44=0,"OFF",IF(B44&lt;&gt;1,"Use Include 1 or 0",IF(OR(C44="",E44=""),"Enter name and unit",IF(OR(NOT(ISNUMBER(F44)),NOT(ISNUMBER(G44)),G44&lt;=F44),"Review deviation limits",IF(NOT(ISNUMBER(K44)),"Enter mean deviation",IF(AND(H44="Uniform",ABS(K44-(F44+G44)/2)&gt;0.000000001),"Uniform mean = midpoint",IF(NOT(ISNUMBER(O44)),"Review sigma inputs",IF(AND(L44="Locator",OR(E44&lt;&gt;"mm",'Setup'!$D$7&lt;&gt;"mm")),"Locator units must be mm",IF(NOT(ISNUMBER(N44)),"Review coefficient","OK")))))))))</x:f>
        <x:v>OFF</x:v>
      </x:c>
      <x:c r="X44" s="12"/>
    </x:row>
    <x:row r="45" ht="23" customHeight="1">
      <x:c r="A45" s="2" t="str">
        <x:v>SRC040</x:v>
      </x:c>
      <x:c r="B45" s="12" t="n">
        <x:v>0</x:v>
      </x:c>
      <x:c r="C45" s="12" t="str"/>
      <x:c r="D45" s="12" t="str"/>
      <x:c r="E45" s="12" t="str">
        <x:v>mm</x:v>
      </x:c>
      <x:c r="F45" s="21" t="n">
        <x:v>-0.3</x:v>
      </x:c>
      <x:c r="G45" s="21" t="n">
        <x:v>0.3</x:v>
      </x:c>
      <x:c r="H45" s="21" t="str">
        <x:v>Normal</x:v>
      </x:c>
      <x:c r="I45" s="22" t="n">
        <x:v>3</x:v>
      </x:c>
      <x:c r="J45" s="21" t="n">
        <x:v>0</x:v>
      </x:c>
      <x:c r="K45" s="21" t="n">
        <x:v>0</x:v>
      </x:c>
      <x:c r="L45" s="12" t="str">
        <x:v>Manual</x:v>
      </x:c>
      <x:c r="M45" s="12" t="n">
        <x:v>0</x:v>
      </x:c>
      <x:c r="N45" s="17" t="n">
        <x:f>IF(B45=0,0,IF(L45="Manual",IF(ISNUMBER(M45),M45,""),IF(L45="Locator",IF(AND('Locator'!$B$22="OK",COUNTIFS('Locator'!$A$31:$A$36,A45)=1),-INDEX('Locator'!$H$31:$H$36,MATCH(A45,'Locator'!$A$31:$A$36,0)),""),IF(L45="Perturbation",IF(ISNUMBER(INDEX('Sensitivity'!$H$6:$H$65,MATCH(A45,'Sensitivity'!$A$6:$A$65,0))),INDEX('Sensitivity'!$H$6:$H$65,MATCH(A45,'Sensitivity'!$A$6:$A$65,0)),""),""))))</x:f>
        <x:v>0</x:v>
      </x:c>
      <x:c r="O45" s="17" t="n">
        <x:f>IF(B45=0,0,IF(H45="Normal",IF(AND(ISNUMBER(F45),ISNUMBER(G45),ISNUMBER(I45),I45&gt;0,G45&gt;F45),(G45-F45)/(2*I45),""),IF(H45="Uniform",IF(AND(ISNUMBER(F45),ISNUMBER(G45),G45&gt;F45),(G45-F45)/SQRT(12),""),IF(H45="Measured",IF(AND(ISNUMBER(J45),J45&gt;=0),J45,""),""))))</x:f>
        <x:v>0</x:v>
      </x:c>
      <x:c r="P45" s="17" t="n">
        <x:f>IF(B45=0,0,IF(AND(ISNUMBER(N45),ISNUMBER(K45)),N45*K45,""))</x:f>
        <x:v>0</x:v>
      </x:c>
      <x:c r="Q45" s="17" t="n">
        <x:f>IF(B45=0,0,IF(AND(ISNUMBER(N45),ISNUMBER(O45)),N45*O45,""))</x:f>
        <x:v>0</x:v>
      </x:c>
      <x:c r="R45" s="17" t="n">
        <x:f>IF(ISNUMBER(Q45),Q45^2,"")</x:f>
        <x:v>0</x:v>
      </x:c>
      <x:c r="S45" s="19" t="str">
        <x:f>IF(AND(B45=1,$B$69&gt;0,ISNUMBER(R45)),R45/$B$69,"")</x:f>
      </x:c>
      <x:c r="T45" s="20" t="str">
        <x:f>IF(AND(B45=1,ISNUMBER(R45)),COUNTIFS($R$6:$R$65,"&gt;"&amp;R45,$B$6:$B$65,1)+COUNTIFS($R$6:R45,R45,$B$6:B45,1),"")</x:f>
      </x:c>
      <x:c r="U45" s="17" t="n">
        <x:f>IF(B45=0,0,IF(AND(ISNUMBER(N45),ISNUMBER(F45),ISNUMBER(G45)),MIN(N45*F45,N45*G45),""))</x:f>
        <x:v>0</x:v>
      </x:c>
      <x:c r="V45" s="17" t="n">
        <x:f>IF(B45=0,0,IF(AND(ISNUMBER(N45),ISNUMBER(F45),ISNUMBER(G45)),MAX(N45*F45,N45*G45),""))</x:f>
        <x:v>0</x:v>
      </x:c>
      <x:c r="W45" s="2" t="str">
        <x:f>IF(B45=0,"OFF",IF(B45&lt;&gt;1,"Use Include 1 or 0",IF(OR(C45="",E45=""),"Enter name and unit",IF(OR(NOT(ISNUMBER(F45)),NOT(ISNUMBER(G45)),G45&lt;=F45),"Review deviation limits",IF(NOT(ISNUMBER(K45)),"Enter mean deviation",IF(AND(H45="Uniform",ABS(K45-(F45+G45)/2)&gt;0.000000001),"Uniform mean = midpoint",IF(NOT(ISNUMBER(O45)),"Review sigma inputs",IF(AND(L45="Locator",OR(E45&lt;&gt;"mm",'Setup'!$D$7&lt;&gt;"mm")),"Locator units must be mm",IF(NOT(ISNUMBER(N45)),"Review coefficient","OK")))))))))</x:f>
        <x:v>OFF</x:v>
      </x:c>
      <x:c r="X45" s="12"/>
    </x:row>
    <x:row r="46" ht="23" customHeight="1">
      <x:c r="A46" s="2" t="str">
        <x:v>SRC041</x:v>
      </x:c>
      <x:c r="B46" s="12" t="n">
        <x:v>0</x:v>
      </x:c>
      <x:c r="C46" s="12" t="str"/>
      <x:c r="D46" s="12" t="str"/>
      <x:c r="E46" s="12" t="str">
        <x:v>mm</x:v>
      </x:c>
      <x:c r="F46" s="21" t="n">
        <x:v>-0.3</x:v>
      </x:c>
      <x:c r="G46" s="21" t="n">
        <x:v>0.3</x:v>
      </x:c>
      <x:c r="H46" s="21" t="str">
        <x:v>Normal</x:v>
      </x:c>
      <x:c r="I46" s="22" t="n">
        <x:v>3</x:v>
      </x:c>
      <x:c r="J46" s="21" t="n">
        <x:v>0</x:v>
      </x:c>
      <x:c r="K46" s="21" t="n">
        <x:v>0</x:v>
      </x:c>
      <x:c r="L46" s="12" t="str">
        <x:v>Manual</x:v>
      </x:c>
      <x:c r="M46" s="12" t="n">
        <x:v>0</x:v>
      </x:c>
      <x:c r="N46" s="17" t="n">
        <x:f>IF(B46=0,0,IF(L46="Manual",IF(ISNUMBER(M46),M46,""),IF(L46="Locator",IF(AND('Locator'!$B$22="OK",COUNTIFS('Locator'!$A$31:$A$36,A46)=1),-INDEX('Locator'!$H$31:$H$36,MATCH(A46,'Locator'!$A$31:$A$36,0)),""),IF(L46="Perturbation",IF(ISNUMBER(INDEX('Sensitivity'!$H$6:$H$65,MATCH(A46,'Sensitivity'!$A$6:$A$65,0))),INDEX('Sensitivity'!$H$6:$H$65,MATCH(A46,'Sensitivity'!$A$6:$A$65,0)),""),""))))</x:f>
        <x:v>0</x:v>
      </x:c>
      <x:c r="O46" s="17" t="n">
        <x:f>IF(B46=0,0,IF(H46="Normal",IF(AND(ISNUMBER(F46),ISNUMBER(G46),ISNUMBER(I46),I46&gt;0,G46&gt;F46),(G46-F46)/(2*I46),""),IF(H46="Uniform",IF(AND(ISNUMBER(F46),ISNUMBER(G46),G46&gt;F46),(G46-F46)/SQRT(12),""),IF(H46="Measured",IF(AND(ISNUMBER(J46),J46&gt;=0),J46,""),""))))</x:f>
        <x:v>0</x:v>
      </x:c>
      <x:c r="P46" s="17" t="n">
        <x:f>IF(B46=0,0,IF(AND(ISNUMBER(N46),ISNUMBER(K46)),N46*K46,""))</x:f>
        <x:v>0</x:v>
      </x:c>
      <x:c r="Q46" s="17" t="n">
        <x:f>IF(B46=0,0,IF(AND(ISNUMBER(N46),ISNUMBER(O46)),N46*O46,""))</x:f>
        <x:v>0</x:v>
      </x:c>
      <x:c r="R46" s="17" t="n">
        <x:f>IF(ISNUMBER(Q46),Q46^2,"")</x:f>
        <x:v>0</x:v>
      </x:c>
      <x:c r="S46" s="19" t="str">
        <x:f>IF(AND(B46=1,$B$69&gt;0,ISNUMBER(R46)),R46/$B$69,"")</x:f>
      </x:c>
      <x:c r="T46" s="20" t="str">
        <x:f>IF(AND(B46=1,ISNUMBER(R46)),COUNTIFS($R$6:$R$65,"&gt;"&amp;R46,$B$6:$B$65,1)+COUNTIFS($R$6:R46,R46,$B$6:B46,1),"")</x:f>
      </x:c>
      <x:c r="U46" s="17" t="n">
        <x:f>IF(B46=0,0,IF(AND(ISNUMBER(N46),ISNUMBER(F46),ISNUMBER(G46)),MIN(N46*F46,N46*G46),""))</x:f>
        <x:v>0</x:v>
      </x:c>
      <x:c r="V46" s="17" t="n">
        <x:f>IF(B46=0,0,IF(AND(ISNUMBER(N46),ISNUMBER(F46),ISNUMBER(G46)),MAX(N46*F46,N46*G46),""))</x:f>
        <x:v>0</x:v>
      </x:c>
      <x:c r="W46" s="2" t="str">
        <x:f>IF(B46=0,"OFF",IF(B46&lt;&gt;1,"Use Include 1 or 0",IF(OR(C46="",E46=""),"Enter name and unit",IF(OR(NOT(ISNUMBER(F46)),NOT(ISNUMBER(G46)),G46&lt;=F46),"Review deviation limits",IF(NOT(ISNUMBER(K46)),"Enter mean deviation",IF(AND(H46="Uniform",ABS(K46-(F46+G46)/2)&gt;0.000000001),"Uniform mean = midpoint",IF(NOT(ISNUMBER(O46)),"Review sigma inputs",IF(AND(L46="Locator",OR(E46&lt;&gt;"mm",'Setup'!$D$7&lt;&gt;"mm")),"Locator units must be mm",IF(NOT(ISNUMBER(N46)),"Review coefficient","OK")))))))))</x:f>
        <x:v>OFF</x:v>
      </x:c>
      <x:c r="X46" s="12"/>
    </x:row>
    <x:row r="47" ht="23" customHeight="1">
      <x:c r="A47" s="2" t="str">
        <x:v>SRC042</x:v>
      </x:c>
      <x:c r="B47" s="12" t="n">
        <x:v>0</x:v>
      </x:c>
      <x:c r="C47" s="12" t="str"/>
      <x:c r="D47" s="12" t="str"/>
      <x:c r="E47" s="12" t="str">
        <x:v>mm</x:v>
      </x:c>
      <x:c r="F47" s="21" t="n">
        <x:v>-0.3</x:v>
      </x:c>
      <x:c r="G47" s="21" t="n">
        <x:v>0.3</x:v>
      </x:c>
      <x:c r="H47" s="21" t="str">
        <x:v>Normal</x:v>
      </x:c>
      <x:c r="I47" s="22" t="n">
        <x:v>3</x:v>
      </x:c>
      <x:c r="J47" s="21" t="n">
        <x:v>0</x:v>
      </x:c>
      <x:c r="K47" s="21" t="n">
        <x:v>0</x:v>
      </x:c>
      <x:c r="L47" s="12" t="str">
        <x:v>Manual</x:v>
      </x:c>
      <x:c r="M47" s="12" t="n">
        <x:v>0</x:v>
      </x:c>
      <x:c r="N47" s="17" t="n">
        <x:f>IF(B47=0,0,IF(L47="Manual",IF(ISNUMBER(M47),M47,""),IF(L47="Locator",IF(AND('Locator'!$B$22="OK",COUNTIFS('Locator'!$A$31:$A$36,A47)=1),-INDEX('Locator'!$H$31:$H$36,MATCH(A47,'Locator'!$A$31:$A$36,0)),""),IF(L47="Perturbation",IF(ISNUMBER(INDEX('Sensitivity'!$H$6:$H$65,MATCH(A47,'Sensitivity'!$A$6:$A$65,0))),INDEX('Sensitivity'!$H$6:$H$65,MATCH(A47,'Sensitivity'!$A$6:$A$65,0)),""),""))))</x:f>
        <x:v>0</x:v>
      </x:c>
      <x:c r="O47" s="17" t="n">
        <x:f>IF(B47=0,0,IF(H47="Normal",IF(AND(ISNUMBER(F47),ISNUMBER(G47),ISNUMBER(I47),I47&gt;0,G47&gt;F47),(G47-F47)/(2*I47),""),IF(H47="Uniform",IF(AND(ISNUMBER(F47),ISNUMBER(G47),G47&gt;F47),(G47-F47)/SQRT(12),""),IF(H47="Measured",IF(AND(ISNUMBER(J47),J47&gt;=0),J47,""),""))))</x:f>
        <x:v>0</x:v>
      </x:c>
      <x:c r="P47" s="17" t="n">
        <x:f>IF(B47=0,0,IF(AND(ISNUMBER(N47),ISNUMBER(K47)),N47*K47,""))</x:f>
        <x:v>0</x:v>
      </x:c>
      <x:c r="Q47" s="17" t="n">
        <x:f>IF(B47=0,0,IF(AND(ISNUMBER(N47),ISNUMBER(O47)),N47*O47,""))</x:f>
        <x:v>0</x:v>
      </x:c>
      <x:c r="R47" s="17" t="n">
        <x:f>IF(ISNUMBER(Q47),Q47^2,"")</x:f>
        <x:v>0</x:v>
      </x:c>
      <x:c r="S47" s="19" t="str">
        <x:f>IF(AND(B47=1,$B$69&gt;0,ISNUMBER(R47)),R47/$B$69,"")</x:f>
      </x:c>
      <x:c r="T47" s="20" t="str">
        <x:f>IF(AND(B47=1,ISNUMBER(R47)),COUNTIFS($R$6:$R$65,"&gt;"&amp;R47,$B$6:$B$65,1)+COUNTIFS($R$6:R47,R47,$B$6:B47,1),"")</x:f>
      </x:c>
      <x:c r="U47" s="17" t="n">
        <x:f>IF(B47=0,0,IF(AND(ISNUMBER(N47),ISNUMBER(F47),ISNUMBER(G47)),MIN(N47*F47,N47*G47),""))</x:f>
        <x:v>0</x:v>
      </x:c>
      <x:c r="V47" s="17" t="n">
        <x:f>IF(B47=0,0,IF(AND(ISNUMBER(N47),ISNUMBER(F47),ISNUMBER(G47)),MAX(N47*F47,N47*G47),""))</x:f>
        <x:v>0</x:v>
      </x:c>
      <x:c r="W47" s="2" t="str">
        <x:f>IF(B47=0,"OFF",IF(B47&lt;&gt;1,"Use Include 1 or 0",IF(OR(C47="",E47=""),"Enter name and unit",IF(OR(NOT(ISNUMBER(F47)),NOT(ISNUMBER(G47)),G47&lt;=F47),"Review deviation limits",IF(NOT(ISNUMBER(K47)),"Enter mean deviation",IF(AND(H47="Uniform",ABS(K47-(F47+G47)/2)&gt;0.000000001),"Uniform mean = midpoint",IF(NOT(ISNUMBER(O47)),"Review sigma inputs",IF(AND(L47="Locator",OR(E47&lt;&gt;"mm",'Setup'!$D$7&lt;&gt;"mm")),"Locator units must be mm",IF(NOT(ISNUMBER(N47)),"Review coefficient","OK")))))))))</x:f>
        <x:v>OFF</x:v>
      </x:c>
      <x:c r="X47" s="12"/>
    </x:row>
    <x:row r="48" ht="23" customHeight="1">
      <x:c r="A48" s="2" t="str">
        <x:v>SRC043</x:v>
      </x:c>
      <x:c r="B48" s="12" t="n">
        <x:v>0</x:v>
      </x:c>
      <x:c r="C48" s="12" t="str"/>
      <x:c r="D48" s="12" t="str"/>
      <x:c r="E48" s="12" t="str">
        <x:v>mm</x:v>
      </x:c>
      <x:c r="F48" s="21" t="n">
        <x:v>-0.3</x:v>
      </x:c>
      <x:c r="G48" s="21" t="n">
        <x:v>0.3</x:v>
      </x:c>
      <x:c r="H48" s="21" t="str">
        <x:v>Normal</x:v>
      </x:c>
      <x:c r="I48" s="22" t="n">
        <x:v>3</x:v>
      </x:c>
      <x:c r="J48" s="21" t="n">
        <x:v>0</x:v>
      </x:c>
      <x:c r="K48" s="21" t="n">
        <x:v>0</x:v>
      </x:c>
      <x:c r="L48" s="12" t="str">
        <x:v>Manual</x:v>
      </x:c>
      <x:c r="M48" s="12" t="n">
        <x:v>0</x:v>
      </x:c>
      <x:c r="N48" s="17" t="n">
        <x:f>IF(B48=0,0,IF(L48="Manual",IF(ISNUMBER(M48),M48,""),IF(L48="Locator",IF(AND('Locator'!$B$22="OK",COUNTIFS('Locator'!$A$31:$A$36,A48)=1),-INDEX('Locator'!$H$31:$H$36,MATCH(A48,'Locator'!$A$31:$A$36,0)),""),IF(L48="Perturbation",IF(ISNUMBER(INDEX('Sensitivity'!$H$6:$H$65,MATCH(A48,'Sensitivity'!$A$6:$A$65,0))),INDEX('Sensitivity'!$H$6:$H$65,MATCH(A48,'Sensitivity'!$A$6:$A$65,0)),""),""))))</x:f>
        <x:v>0</x:v>
      </x:c>
      <x:c r="O48" s="17" t="n">
        <x:f>IF(B48=0,0,IF(H48="Normal",IF(AND(ISNUMBER(F48),ISNUMBER(G48),ISNUMBER(I48),I48&gt;0,G48&gt;F48),(G48-F48)/(2*I48),""),IF(H48="Uniform",IF(AND(ISNUMBER(F48),ISNUMBER(G48),G48&gt;F48),(G48-F48)/SQRT(12),""),IF(H48="Measured",IF(AND(ISNUMBER(J48),J48&gt;=0),J48,""),""))))</x:f>
        <x:v>0</x:v>
      </x:c>
      <x:c r="P48" s="17" t="n">
        <x:f>IF(B48=0,0,IF(AND(ISNUMBER(N48),ISNUMBER(K48)),N48*K48,""))</x:f>
        <x:v>0</x:v>
      </x:c>
      <x:c r="Q48" s="17" t="n">
        <x:f>IF(B48=0,0,IF(AND(ISNUMBER(N48),ISNUMBER(O48)),N48*O48,""))</x:f>
        <x:v>0</x:v>
      </x:c>
      <x:c r="R48" s="17" t="n">
        <x:f>IF(ISNUMBER(Q48),Q48^2,"")</x:f>
        <x:v>0</x:v>
      </x:c>
      <x:c r="S48" s="19" t="str">
        <x:f>IF(AND(B48=1,$B$69&gt;0,ISNUMBER(R48)),R48/$B$69,"")</x:f>
      </x:c>
      <x:c r="T48" s="20" t="str">
        <x:f>IF(AND(B48=1,ISNUMBER(R48)),COUNTIFS($R$6:$R$65,"&gt;"&amp;R48,$B$6:$B$65,1)+COUNTIFS($R$6:R48,R48,$B$6:B48,1),"")</x:f>
      </x:c>
      <x:c r="U48" s="17" t="n">
        <x:f>IF(B48=0,0,IF(AND(ISNUMBER(N48),ISNUMBER(F48),ISNUMBER(G48)),MIN(N48*F48,N48*G48),""))</x:f>
        <x:v>0</x:v>
      </x:c>
      <x:c r="V48" s="17" t="n">
        <x:f>IF(B48=0,0,IF(AND(ISNUMBER(N48),ISNUMBER(F48),ISNUMBER(G48)),MAX(N48*F48,N48*G48),""))</x:f>
        <x:v>0</x:v>
      </x:c>
      <x:c r="W48" s="2" t="str">
        <x:f>IF(B48=0,"OFF",IF(B48&lt;&gt;1,"Use Include 1 or 0",IF(OR(C48="",E48=""),"Enter name and unit",IF(OR(NOT(ISNUMBER(F48)),NOT(ISNUMBER(G48)),G48&lt;=F48),"Review deviation limits",IF(NOT(ISNUMBER(K48)),"Enter mean deviation",IF(AND(H48="Uniform",ABS(K48-(F48+G48)/2)&gt;0.000000001),"Uniform mean = midpoint",IF(NOT(ISNUMBER(O48)),"Review sigma inputs",IF(AND(L48="Locator",OR(E48&lt;&gt;"mm",'Setup'!$D$7&lt;&gt;"mm")),"Locator units must be mm",IF(NOT(ISNUMBER(N48)),"Review coefficient","OK")))))))))</x:f>
        <x:v>OFF</x:v>
      </x:c>
      <x:c r="X48" s="12"/>
    </x:row>
    <x:row r="49" ht="23" customHeight="1">
      <x:c r="A49" s="2" t="str">
        <x:v>SRC044</x:v>
      </x:c>
      <x:c r="B49" s="12" t="n">
        <x:v>0</x:v>
      </x:c>
      <x:c r="C49" s="12" t="str"/>
      <x:c r="D49" s="12" t="str"/>
      <x:c r="E49" s="12" t="str">
        <x:v>mm</x:v>
      </x:c>
      <x:c r="F49" s="21" t="n">
        <x:v>-0.3</x:v>
      </x:c>
      <x:c r="G49" s="21" t="n">
        <x:v>0.3</x:v>
      </x:c>
      <x:c r="H49" s="21" t="str">
        <x:v>Normal</x:v>
      </x:c>
      <x:c r="I49" s="22" t="n">
        <x:v>3</x:v>
      </x:c>
      <x:c r="J49" s="21" t="n">
        <x:v>0</x:v>
      </x:c>
      <x:c r="K49" s="21" t="n">
        <x:v>0</x:v>
      </x:c>
      <x:c r="L49" s="12" t="str">
        <x:v>Manual</x:v>
      </x:c>
      <x:c r="M49" s="12" t="n">
        <x:v>0</x:v>
      </x:c>
      <x:c r="N49" s="17" t="n">
        <x:f>IF(B49=0,0,IF(L49="Manual",IF(ISNUMBER(M49),M49,""),IF(L49="Locator",IF(AND('Locator'!$B$22="OK",COUNTIFS('Locator'!$A$31:$A$36,A49)=1),-INDEX('Locator'!$H$31:$H$36,MATCH(A49,'Locator'!$A$31:$A$36,0)),""),IF(L49="Perturbation",IF(ISNUMBER(INDEX('Sensitivity'!$H$6:$H$65,MATCH(A49,'Sensitivity'!$A$6:$A$65,0))),INDEX('Sensitivity'!$H$6:$H$65,MATCH(A49,'Sensitivity'!$A$6:$A$65,0)),""),""))))</x:f>
        <x:v>0</x:v>
      </x:c>
      <x:c r="O49" s="17" t="n">
        <x:f>IF(B49=0,0,IF(H49="Normal",IF(AND(ISNUMBER(F49),ISNUMBER(G49),ISNUMBER(I49),I49&gt;0,G49&gt;F49),(G49-F49)/(2*I49),""),IF(H49="Uniform",IF(AND(ISNUMBER(F49),ISNUMBER(G49),G49&gt;F49),(G49-F49)/SQRT(12),""),IF(H49="Measured",IF(AND(ISNUMBER(J49),J49&gt;=0),J49,""),""))))</x:f>
        <x:v>0</x:v>
      </x:c>
      <x:c r="P49" s="17" t="n">
        <x:f>IF(B49=0,0,IF(AND(ISNUMBER(N49),ISNUMBER(K49)),N49*K49,""))</x:f>
        <x:v>0</x:v>
      </x:c>
      <x:c r="Q49" s="17" t="n">
        <x:f>IF(B49=0,0,IF(AND(ISNUMBER(N49),ISNUMBER(O49)),N49*O49,""))</x:f>
        <x:v>0</x:v>
      </x:c>
      <x:c r="R49" s="17" t="n">
        <x:f>IF(ISNUMBER(Q49),Q49^2,"")</x:f>
        <x:v>0</x:v>
      </x:c>
      <x:c r="S49" s="19" t="str">
        <x:f>IF(AND(B49=1,$B$69&gt;0,ISNUMBER(R49)),R49/$B$69,"")</x:f>
      </x:c>
      <x:c r="T49" s="20" t="str">
        <x:f>IF(AND(B49=1,ISNUMBER(R49)),COUNTIFS($R$6:$R$65,"&gt;"&amp;R49,$B$6:$B$65,1)+COUNTIFS($R$6:R49,R49,$B$6:B49,1),"")</x:f>
      </x:c>
      <x:c r="U49" s="17" t="n">
        <x:f>IF(B49=0,0,IF(AND(ISNUMBER(N49),ISNUMBER(F49),ISNUMBER(G49)),MIN(N49*F49,N49*G49),""))</x:f>
        <x:v>0</x:v>
      </x:c>
      <x:c r="V49" s="17" t="n">
        <x:f>IF(B49=0,0,IF(AND(ISNUMBER(N49),ISNUMBER(F49),ISNUMBER(G49)),MAX(N49*F49,N49*G49),""))</x:f>
        <x:v>0</x:v>
      </x:c>
      <x:c r="W49" s="2" t="str">
        <x:f>IF(B49=0,"OFF",IF(B49&lt;&gt;1,"Use Include 1 or 0",IF(OR(C49="",E49=""),"Enter name and unit",IF(OR(NOT(ISNUMBER(F49)),NOT(ISNUMBER(G49)),G49&lt;=F49),"Review deviation limits",IF(NOT(ISNUMBER(K49)),"Enter mean deviation",IF(AND(H49="Uniform",ABS(K49-(F49+G49)/2)&gt;0.000000001),"Uniform mean = midpoint",IF(NOT(ISNUMBER(O49)),"Review sigma inputs",IF(AND(L49="Locator",OR(E49&lt;&gt;"mm",'Setup'!$D$7&lt;&gt;"mm")),"Locator units must be mm",IF(NOT(ISNUMBER(N49)),"Review coefficient","OK")))))))))</x:f>
        <x:v>OFF</x:v>
      </x:c>
      <x:c r="X49" s="12"/>
    </x:row>
    <x:row r="50" ht="23" customHeight="1">
      <x:c r="A50" s="2" t="str">
        <x:v>SRC045</x:v>
      </x:c>
      <x:c r="B50" s="12" t="n">
        <x:v>0</x:v>
      </x:c>
      <x:c r="C50" s="12" t="str"/>
      <x:c r="D50" s="12" t="str"/>
      <x:c r="E50" s="12" t="str">
        <x:v>mm</x:v>
      </x:c>
      <x:c r="F50" s="21" t="n">
        <x:v>-0.3</x:v>
      </x:c>
      <x:c r="G50" s="21" t="n">
        <x:v>0.3</x:v>
      </x:c>
      <x:c r="H50" s="21" t="str">
        <x:v>Normal</x:v>
      </x:c>
      <x:c r="I50" s="22" t="n">
        <x:v>3</x:v>
      </x:c>
      <x:c r="J50" s="21" t="n">
        <x:v>0</x:v>
      </x:c>
      <x:c r="K50" s="21" t="n">
        <x:v>0</x:v>
      </x:c>
      <x:c r="L50" s="12" t="str">
        <x:v>Manual</x:v>
      </x:c>
      <x:c r="M50" s="12" t="n">
        <x:v>0</x:v>
      </x:c>
      <x:c r="N50" s="17" t="n">
        <x:f>IF(B50=0,0,IF(L50="Manual",IF(ISNUMBER(M50),M50,""),IF(L50="Locator",IF(AND('Locator'!$B$22="OK",COUNTIFS('Locator'!$A$31:$A$36,A50)=1),-INDEX('Locator'!$H$31:$H$36,MATCH(A50,'Locator'!$A$31:$A$36,0)),""),IF(L50="Perturbation",IF(ISNUMBER(INDEX('Sensitivity'!$H$6:$H$65,MATCH(A50,'Sensitivity'!$A$6:$A$65,0))),INDEX('Sensitivity'!$H$6:$H$65,MATCH(A50,'Sensitivity'!$A$6:$A$65,0)),""),""))))</x:f>
        <x:v>0</x:v>
      </x:c>
      <x:c r="O50" s="17" t="n">
        <x:f>IF(B50=0,0,IF(H50="Normal",IF(AND(ISNUMBER(F50),ISNUMBER(G50),ISNUMBER(I50),I50&gt;0,G50&gt;F50),(G50-F50)/(2*I50),""),IF(H50="Uniform",IF(AND(ISNUMBER(F50),ISNUMBER(G50),G50&gt;F50),(G50-F50)/SQRT(12),""),IF(H50="Measured",IF(AND(ISNUMBER(J50),J50&gt;=0),J50,""),""))))</x:f>
        <x:v>0</x:v>
      </x:c>
      <x:c r="P50" s="17" t="n">
        <x:f>IF(B50=0,0,IF(AND(ISNUMBER(N50),ISNUMBER(K50)),N50*K50,""))</x:f>
        <x:v>0</x:v>
      </x:c>
      <x:c r="Q50" s="17" t="n">
        <x:f>IF(B50=0,0,IF(AND(ISNUMBER(N50),ISNUMBER(O50)),N50*O50,""))</x:f>
        <x:v>0</x:v>
      </x:c>
      <x:c r="R50" s="17" t="n">
        <x:f>IF(ISNUMBER(Q50),Q50^2,"")</x:f>
        <x:v>0</x:v>
      </x:c>
      <x:c r="S50" s="19" t="str">
        <x:f>IF(AND(B50=1,$B$69&gt;0,ISNUMBER(R50)),R50/$B$69,"")</x:f>
      </x:c>
      <x:c r="T50" s="20" t="str">
        <x:f>IF(AND(B50=1,ISNUMBER(R50)),COUNTIFS($R$6:$R$65,"&gt;"&amp;R50,$B$6:$B$65,1)+COUNTIFS($R$6:R50,R50,$B$6:B50,1),"")</x:f>
      </x:c>
      <x:c r="U50" s="17" t="n">
        <x:f>IF(B50=0,0,IF(AND(ISNUMBER(N50),ISNUMBER(F50),ISNUMBER(G50)),MIN(N50*F50,N50*G50),""))</x:f>
        <x:v>0</x:v>
      </x:c>
      <x:c r="V50" s="17" t="n">
        <x:f>IF(B50=0,0,IF(AND(ISNUMBER(N50),ISNUMBER(F50),ISNUMBER(G50)),MAX(N50*F50,N50*G50),""))</x:f>
        <x:v>0</x:v>
      </x:c>
      <x:c r="W50" s="2" t="str">
        <x:f>IF(B50=0,"OFF",IF(B50&lt;&gt;1,"Use Include 1 or 0",IF(OR(C50="",E50=""),"Enter name and unit",IF(OR(NOT(ISNUMBER(F50)),NOT(ISNUMBER(G50)),G50&lt;=F50),"Review deviation limits",IF(NOT(ISNUMBER(K50)),"Enter mean deviation",IF(AND(H50="Uniform",ABS(K50-(F50+G50)/2)&gt;0.000000001),"Uniform mean = midpoint",IF(NOT(ISNUMBER(O50)),"Review sigma inputs",IF(AND(L50="Locator",OR(E50&lt;&gt;"mm",'Setup'!$D$7&lt;&gt;"mm")),"Locator units must be mm",IF(NOT(ISNUMBER(N50)),"Review coefficient","OK")))))))))</x:f>
        <x:v>OFF</x:v>
      </x:c>
      <x:c r="X50" s="12"/>
    </x:row>
    <x:row r="51" ht="23" customHeight="1">
      <x:c r="A51" s="2" t="str">
        <x:v>SRC046</x:v>
      </x:c>
      <x:c r="B51" s="12" t="n">
        <x:v>0</x:v>
      </x:c>
      <x:c r="C51" s="12" t="str"/>
      <x:c r="D51" s="12" t="str"/>
      <x:c r="E51" s="12" t="str">
        <x:v>mm</x:v>
      </x:c>
      <x:c r="F51" s="21" t="n">
        <x:v>-0.3</x:v>
      </x:c>
      <x:c r="G51" s="21" t="n">
        <x:v>0.3</x:v>
      </x:c>
      <x:c r="H51" s="21" t="str">
        <x:v>Normal</x:v>
      </x:c>
      <x:c r="I51" s="22" t="n">
        <x:v>3</x:v>
      </x:c>
      <x:c r="J51" s="21" t="n">
        <x:v>0</x:v>
      </x:c>
      <x:c r="K51" s="21" t="n">
        <x:v>0</x:v>
      </x:c>
      <x:c r="L51" s="12" t="str">
        <x:v>Manual</x:v>
      </x:c>
      <x:c r="M51" s="12" t="n">
        <x:v>0</x:v>
      </x:c>
      <x:c r="N51" s="17" t="n">
        <x:f>IF(B51=0,0,IF(L51="Manual",IF(ISNUMBER(M51),M51,""),IF(L51="Locator",IF(AND('Locator'!$B$22="OK",COUNTIFS('Locator'!$A$31:$A$36,A51)=1),-INDEX('Locator'!$H$31:$H$36,MATCH(A51,'Locator'!$A$31:$A$36,0)),""),IF(L51="Perturbation",IF(ISNUMBER(INDEX('Sensitivity'!$H$6:$H$65,MATCH(A51,'Sensitivity'!$A$6:$A$65,0))),INDEX('Sensitivity'!$H$6:$H$65,MATCH(A51,'Sensitivity'!$A$6:$A$65,0)),""),""))))</x:f>
        <x:v>0</x:v>
      </x:c>
      <x:c r="O51" s="17" t="n">
        <x:f>IF(B51=0,0,IF(H51="Normal",IF(AND(ISNUMBER(F51),ISNUMBER(G51),ISNUMBER(I51),I51&gt;0,G51&gt;F51),(G51-F51)/(2*I51),""),IF(H51="Uniform",IF(AND(ISNUMBER(F51),ISNUMBER(G51),G51&gt;F51),(G51-F51)/SQRT(12),""),IF(H51="Measured",IF(AND(ISNUMBER(J51),J51&gt;=0),J51,""),""))))</x:f>
        <x:v>0</x:v>
      </x:c>
      <x:c r="P51" s="17" t="n">
        <x:f>IF(B51=0,0,IF(AND(ISNUMBER(N51),ISNUMBER(K51)),N51*K51,""))</x:f>
        <x:v>0</x:v>
      </x:c>
      <x:c r="Q51" s="17" t="n">
        <x:f>IF(B51=0,0,IF(AND(ISNUMBER(N51),ISNUMBER(O51)),N51*O51,""))</x:f>
        <x:v>0</x:v>
      </x:c>
      <x:c r="R51" s="17" t="n">
        <x:f>IF(ISNUMBER(Q51),Q51^2,"")</x:f>
        <x:v>0</x:v>
      </x:c>
      <x:c r="S51" s="19" t="str">
        <x:f>IF(AND(B51=1,$B$69&gt;0,ISNUMBER(R51)),R51/$B$69,"")</x:f>
      </x:c>
      <x:c r="T51" s="20" t="str">
        <x:f>IF(AND(B51=1,ISNUMBER(R51)),COUNTIFS($R$6:$R$65,"&gt;"&amp;R51,$B$6:$B$65,1)+COUNTIFS($R$6:R51,R51,$B$6:B51,1),"")</x:f>
      </x:c>
      <x:c r="U51" s="17" t="n">
        <x:f>IF(B51=0,0,IF(AND(ISNUMBER(N51),ISNUMBER(F51),ISNUMBER(G51)),MIN(N51*F51,N51*G51),""))</x:f>
        <x:v>0</x:v>
      </x:c>
      <x:c r="V51" s="17" t="n">
        <x:f>IF(B51=0,0,IF(AND(ISNUMBER(N51),ISNUMBER(F51),ISNUMBER(G51)),MAX(N51*F51,N51*G51),""))</x:f>
        <x:v>0</x:v>
      </x:c>
      <x:c r="W51" s="2" t="str">
        <x:f>IF(B51=0,"OFF",IF(B51&lt;&gt;1,"Use Include 1 or 0",IF(OR(C51="",E51=""),"Enter name and unit",IF(OR(NOT(ISNUMBER(F51)),NOT(ISNUMBER(G51)),G51&lt;=F51),"Review deviation limits",IF(NOT(ISNUMBER(K51)),"Enter mean deviation",IF(AND(H51="Uniform",ABS(K51-(F51+G51)/2)&gt;0.000000001),"Uniform mean = midpoint",IF(NOT(ISNUMBER(O51)),"Review sigma inputs",IF(AND(L51="Locator",OR(E51&lt;&gt;"mm",'Setup'!$D$7&lt;&gt;"mm")),"Locator units must be mm",IF(NOT(ISNUMBER(N51)),"Review coefficient","OK")))))))))</x:f>
        <x:v>OFF</x:v>
      </x:c>
      <x:c r="X51" s="12"/>
    </x:row>
    <x:row r="52" ht="23" customHeight="1">
      <x:c r="A52" s="2" t="str">
        <x:v>SRC047</x:v>
      </x:c>
      <x:c r="B52" s="12" t="n">
        <x:v>0</x:v>
      </x:c>
      <x:c r="C52" s="12" t="str"/>
      <x:c r="D52" s="12" t="str"/>
      <x:c r="E52" s="12" t="str">
        <x:v>mm</x:v>
      </x:c>
      <x:c r="F52" s="21" t="n">
        <x:v>-0.3</x:v>
      </x:c>
      <x:c r="G52" s="21" t="n">
        <x:v>0.3</x:v>
      </x:c>
      <x:c r="H52" s="21" t="str">
        <x:v>Normal</x:v>
      </x:c>
      <x:c r="I52" s="22" t="n">
        <x:v>3</x:v>
      </x:c>
      <x:c r="J52" s="21" t="n">
        <x:v>0</x:v>
      </x:c>
      <x:c r="K52" s="21" t="n">
        <x:v>0</x:v>
      </x:c>
      <x:c r="L52" s="12" t="str">
        <x:v>Manual</x:v>
      </x:c>
      <x:c r="M52" s="12" t="n">
        <x:v>0</x:v>
      </x:c>
      <x:c r="N52" s="17" t="n">
        <x:f>IF(B52=0,0,IF(L52="Manual",IF(ISNUMBER(M52),M52,""),IF(L52="Locator",IF(AND('Locator'!$B$22="OK",COUNTIFS('Locator'!$A$31:$A$36,A52)=1),-INDEX('Locator'!$H$31:$H$36,MATCH(A52,'Locator'!$A$31:$A$36,0)),""),IF(L52="Perturbation",IF(ISNUMBER(INDEX('Sensitivity'!$H$6:$H$65,MATCH(A52,'Sensitivity'!$A$6:$A$65,0))),INDEX('Sensitivity'!$H$6:$H$65,MATCH(A52,'Sensitivity'!$A$6:$A$65,0)),""),""))))</x:f>
        <x:v>0</x:v>
      </x:c>
      <x:c r="O52" s="17" t="n">
        <x:f>IF(B52=0,0,IF(H52="Normal",IF(AND(ISNUMBER(F52),ISNUMBER(G52),ISNUMBER(I52),I52&gt;0,G52&gt;F52),(G52-F52)/(2*I52),""),IF(H52="Uniform",IF(AND(ISNUMBER(F52),ISNUMBER(G52),G52&gt;F52),(G52-F52)/SQRT(12),""),IF(H52="Measured",IF(AND(ISNUMBER(J52),J52&gt;=0),J52,""),""))))</x:f>
        <x:v>0</x:v>
      </x:c>
      <x:c r="P52" s="17" t="n">
        <x:f>IF(B52=0,0,IF(AND(ISNUMBER(N52),ISNUMBER(K52)),N52*K52,""))</x:f>
        <x:v>0</x:v>
      </x:c>
      <x:c r="Q52" s="17" t="n">
        <x:f>IF(B52=0,0,IF(AND(ISNUMBER(N52),ISNUMBER(O52)),N52*O52,""))</x:f>
        <x:v>0</x:v>
      </x:c>
      <x:c r="R52" s="17" t="n">
        <x:f>IF(ISNUMBER(Q52),Q52^2,"")</x:f>
        <x:v>0</x:v>
      </x:c>
      <x:c r="S52" s="19" t="str">
        <x:f>IF(AND(B52=1,$B$69&gt;0,ISNUMBER(R52)),R52/$B$69,"")</x:f>
      </x:c>
      <x:c r="T52" s="20" t="str">
        <x:f>IF(AND(B52=1,ISNUMBER(R52)),COUNTIFS($R$6:$R$65,"&gt;"&amp;R52,$B$6:$B$65,1)+COUNTIFS($R$6:R52,R52,$B$6:B52,1),"")</x:f>
      </x:c>
      <x:c r="U52" s="17" t="n">
        <x:f>IF(B52=0,0,IF(AND(ISNUMBER(N52),ISNUMBER(F52),ISNUMBER(G52)),MIN(N52*F52,N52*G52),""))</x:f>
        <x:v>0</x:v>
      </x:c>
      <x:c r="V52" s="17" t="n">
        <x:f>IF(B52=0,0,IF(AND(ISNUMBER(N52),ISNUMBER(F52),ISNUMBER(G52)),MAX(N52*F52,N52*G52),""))</x:f>
        <x:v>0</x:v>
      </x:c>
      <x:c r="W52" s="2" t="str">
        <x:f>IF(B52=0,"OFF",IF(B52&lt;&gt;1,"Use Include 1 or 0",IF(OR(C52="",E52=""),"Enter name and unit",IF(OR(NOT(ISNUMBER(F52)),NOT(ISNUMBER(G52)),G52&lt;=F52),"Review deviation limits",IF(NOT(ISNUMBER(K52)),"Enter mean deviation",IF(AND(H52="Uniform",ABS(K52-(F52+G52)/2)&gt;0.000000001),"Uniform mean = midpoint",IF(NOT(ISNUMBER(O52)),"Review sigma inputs",IF(AND(L52="Locator",OR(E52&lt;&gt;"mm",'Setup'!$D$7&lt;&gt;"mm")),"Locator units must be mm",IF(NOT(ISNUMBER(N52)),"Review coefficient","OK")))))))))</x:f>
        <x:v>OFF</x:v>
      </x:c>
      <x:c r="X52" s="12"/>
    </x:row>
    <x:row r="53" ht="23" customHeight="1">
      <x:c r="A53" s="2" t="str">
        <x:v>SRC048</x:v>
      </x:c>
      <x:c r="B53" s="12" t="n">
        <x:v>0</x:v>
      </x:c>
      <x:c r="C53" s="12" t="str"/>
      <x:c r="D53" s="12" t="str"/>
      <x:c r="E53" s="12" t="str">
        <x:v>mm</x:v>
      </x:c>
      <x:c r="F53" s="21" t="n">
        <x:v>-0.3</x:v>
      </x:c>
      <x:c r="G53" s="21" t="n">
        <x:v>0.3</x:v>
      </x:c>
      <x:c r="H53" s="21" t="str">
        <x:v>Normal</x:v>
      </x:c>
      <x:c r="I53" s="22" t="n">
        <x:v>3</x:v>
      </x:c>
      <x:c r="J53" s="21" t="n">
        <x:v>0</x:v>
      </x:c>
      <x:c r="K53" s="21" t="n">
        <x:v>0</x:v>
      </x:c>
      <x:c r="L53" s="12" t="str">
        <x:v>Manual</x:v>
      </x:c>
      <x:c r="M53" s="12" t="n">
        <x:v>0</x:v>
      </x:c>
      <x:c r="N53" s="17" t="n">
        <x:f>IF(B53=0,0,IF(L53="Manual",IF(ISNUMBER(M53),M53,""),IF(L53="Locator",IF(AND('Locator'!$B$22="OK",COUNTIFS('Locator'!$A$31:$A$36,A53)=1),-INDEX('Locator'!$H$31:$H$36,MATCH(A53,'Locator'!$A$31:$A$36,0)),""),IF(L53="Perturbation",IF(ISNUMBER(INDEX('Sensitivity'!$H$6:$H$65,MATCH(A53,'Sensitivity'!$A$6:$A$65,0))),INDEX('Sensitivity'!$H$6:$H$65,MATCH(A53,'Sensitivity'!$A$6:$A$65,0)),""),""))))</x:f>
        <x:v>0</x:v>
      </x:c>
      <x:c r="O53" s="17" t="n">
        <x:f>IF(B53=0,0,IF(H53="Normal",IF(AND(ISNUMBER(F53),ISNUMBER(G53),ISNUMBER(I53),I53&gt;0,G53&gt;F53),(G53-F53)/(2*I53),""),IF(H53="Uniform",IF(AND(ISNUMBER(F53),ISNUMBER(G53),G53&gt;F53),(G53-F53)/SQRT(12),""),IF(H53="Measured",IF(AND(ISNUMBER(J53),J53&gt;=0),J53,""),""))))</x:f>
        <x:v>0</x:v>
      </x:c>
      <x:c r="P53" s="17" t="n">
        <x:f>IF(B53=0,0,IF(AND(ISNUMBER(N53),ISNUMBER(K53)),N53*K53,""))</x:f>
        <x:v>0</x:v>
      </x:c>
      <x:c r="Q53" s="17" t="n">
        <x:f>IF(B53=0,0,IF(AND(ISNUMBER(N53),ISNUMBER(O53)),N53*O53,""))</x:f>
        <x:v>0</x:v>
      </x:c>
      <x:c r="R53" s="17" t="n">
        <x:f>IF(ISNUMBER(Q53),Q53^2,"")</x:f>
        <x:v>0</x:v>
      </x:c>
      <x:c r="S53" s="19" t="str">
        <x:f>IF(AND(B53=1,$B$69&gt;0,ISNUMBER(R53)),R53/$B$69,"")</x:f>
      </x:c>
      <x:c r="T53" s="20" t="str">
        <x:f>IF(AND(B53=1,ISNUMBER(R53)),COUNTIFS($R$6:$R$65,"&gt;"&amp;R53,$B$6:$B$65,1)+COUNTIFS($R$6:R53,R53,$B$6:B53,1),"")</x:f>
      </x:c>
      <x:c r="U53" s="17" t="n">
        <x:f>IF(B53=0,0,IF(AND(ISNUMBER(N53),ISNUMBER(F53),ISNUMBER(G53)),MIN(N53*F53,N53*G53),""))</x:f>
        <x:v>0</x:v>
      </x:c>
      <x:c r="V53" s="17" t="n">
        <x:f>IF(B53=0,0,IF(AND(ISNUMBER(N53),ISNUMBER(F53),ISNUMBER(G53)),MAX(N53*F53,N53*G53),""))</x:f>
        <x:v>0</x:v>
      </x:c>
      <x:c r="W53" s="2" t="str">
        <x:f>IF(B53=0,"OFF",IF(B53&lt;&gt;1,"Use Include 1 or 0",IF(OR(C53="",E53=""),"Enter name and unit",IF(OR(NOT(ISNUMBER(F53)),NOT(ISNUMBER(G53)),G53&lt;=F53),"Review deviation limits",IF(NOT(ISNUMBER(K53)),"Enter mean deviation",IF(AND(H53="Uniform",ABS(K53-(F53+G53)/2)&gt;0.000000001),"Uniform mean = midpoint",IF(NOT(ISNUMBER(O53)),"Review sigma inputs",IF(AND(L53="Locator",OR(E53&lt;&gt;"mm",'Setup'!$D$7&lt;&gt;"mm")),"Locator units must be mm",IF(NOT(ISNUMBER(N53)),"Review coefficient","OK")))))))))</x:f>
        <x:v>OFF</x:v>
      </x:c>
      <x:c r="X53" s="12"/>
    </x:row>
    <x:row r="54" ht="23" customHeight="1">
      <x:c r="A54" s="2" t="str">
        <x:v>SRC049</x:v>
      </x:c>
      <x:c r="B54" s="12" t="n">
        <x:v>0</x:v>
      </x:c>
      <x:c r="C54" s="12" t="str"/>
      <x:c r="D54" s="12" t="str"/>
      <x:c r="E54" s="12" t="str">
        <x:v>mm</x:v>
      </x:c>
      <x:c r="F54" s="21" t="n">
        <x:v>-0.3</x:v>
      </x:c>
      <x:c r="G54" s="21" t="n">
        <x:v>0.3</x:v>
      </x:c>
      <x:c r="H54" s="21" t="str">
        <x:v>Normal</x:v>
      </x:c>
      <x:c r="I54" s="22" t="n">
        <x:v>3</x:v>
      </x:c>
      <x:c r="J54" s="21" t="n">
        <x:v>0</x:v>
      </x:c>
      <x:c r="K54" s="21" t="n">
        <x:v>0</x:v>
      </x:c>
      <x:c r="L54" s="12" t="str">
        <x:v>Manual</x:v>
      </x:c>
      <x:c r="M54" s="12" t="n">
        <x:v>0</x:v>
      </x:c>
      <x:c r="N54" s="17" t="n">
        <x:f>IF(B54=0,0,IF(L54="Manual",IF(ISNUMBER(M54),M54,""),IF(L54="Locator",IF(AND('Locator'!$B$22="OK",COUNTIFS('Locator'!$A$31:$A$36,A54)=1),-INDEX('Locator'!$H$31:$H$36,MATCH(A54,'Locator'!$A$31:$A$36,0)),""),IF(L54="Perturbation",IF(ISNUMBER(INDEX('Sensitivity'!$H$6:$H$65,MATCH(A54,'Sensitivity'!$A$6:$A$65,0))),INDEX('Sensitivity'!$H$6:$H$65,MATCH(A54,'Sensitivity'!$A$6:$A$65,0)),""),""))))</x:f>
        <x:v>0</x:v>
      </x:c>
      <x:c r="O54" s="17" t="n">
        <x:f>IF(B54=0,0,IF(H54="Normal",IF(AND(ISNUMBER(F54),ISNUMBER(G54),ISNUMBER(I54),I54&gt;0,G54&gt;F54),(G54-F54)/(2*I54),""),IF(H54="Uniform",IF(AND(ISNUMBER(F54),ISNUMBER(G54),G54&gt;F54),(G54-F54)/SQRT(12),""),IF(H54="Measured",IF(AND(ISNUMBER(J54),J54&gt;=0),J54,""),""))))</x:f>
        <x:v>0</x:v>
      </x:c>
      <x:c r="P54" s="17" t="n">
        <x:f>IF(B54=0,0,IF(AND(ISNUMBER(N54),ISNUMBER(K54)),N54*K54,""))</x:f>
        <x:v>0</x:v>
      </x:c>
      <x:c r="Q54" s="17" t="n">
        <x:f>IF(B54=0,0,IF(AND(ISNUMBER(N54),ISNUMBER(O54)),N54*O54,""))</x:f>
        <x:v>0</x:v>
      </x:c>
      <x:c r="R54" s="17" t="n">
        <x:f>IF(ISNUMBER(Q54),Q54^2,"")</x:f>
        <x:v>0</x:v>
      </x:c>
      <x:c r="S54" s="19" t="str">
        <x:f>IF(AND(B54=1,$B$69&gt;0,ISNUMBER(R54)),R54/$B$69,"")</x:f>
      </x:c>
      <x:c r="T54" s="20" t="str">
        <x:f>IF(AND(B54=1,ISNUMBER(R54)),COUNTIFS($R$6:$R$65,"&gt;"&amp;R54,$B$6:$B$65,1)+COUNTIFS($R$6:R54,R54,$B$6:B54,1),"")</x:f>
      </x:c>
      <x:c r="U54" s="17" t="n">
        <x:f>IF(B54=0,0,IF(AND(ISNUMBER(N54),ISNUMBER(F54),ISNUMBER(G54)),MIN(N54*F54,N54*G54),""))</x:f>
        <x:v>0</x:v>
      </x:c>
      <x:c r="V54" s="17" t="n">
        <x:f>IF(B54=0,0,IF(AND(ISNUMBER(N54),ISNUMBER(F54),ISNUMBER(G54)),MAX(N54*F54,N54*G54),""))</x:f>
        <x:v>0</x:v>
      </x:c>
      <x:c r="W54" s="2" t="str">
        <x:f>IF(B54=0,"OFF",IF(B54&lt;&gt;1,"Use Include 1 or 0",IF(OR(C54="",E54=""),"Enter name and unit",IF(OR(NOT(ISNUMBER(F54)),NOT(ISNUMBER(G54)),G54&lt;=F54),"Review deviation limits",IF(NOT(ISNUMBER(K54)),"Enter mean deviation",IF(AND(H54="Uniform",ABS(K54-(F54+G54)/2)&gt;0.000000001),"Uniform mean = midpoint",IF(NOT(ISNUMBER(O54)),"Review sigma inputs",IF(AND(L54="Locator",OR(E54&lt;&gt;"mm",'Setup'!$D$7&lt;&gt;"mm")),"Locator units must be mm",IF(NOT(ISNUMBER(N54)),"Review coefficient","OK")))))))))</x:f>
        <x:v>OFF</x:v>
      </x:c>
      <x:c r="X54" s="12"/>
    </x:row>
    <x:row r="55" ht="23" customHeight="1">
      <x:c r="A55" s="2" t="str">
        <x:v>SRC050</x:v>
      </x:c>
      <x:c r="B55" s="12" t="n">
        <x:v>0</x:v>
      </x:c>
      <x:c r="C55" s="12" t="str"/>
      <x:c r="D55" s="12" t="str"/>
      <x:c r="E55" s="12" t="str">
        <x:v>mm</x:v>
      </x:c>
      <x:c r="F55" s="21" t="n">
        <x:v>-0.3</x:v>
      </x:c>
      <x:c r="G55" s="21" t="n">
        <x:v>0.3</x:v>
      </x:c>
      <x:c r="H55" s="21" t="str">
        <x:v>Normal</x:v>
      </x:c>
      <x:c r="I55" s="22" t="n">
        <x:v>3</x:v>
      </x:c>
      <x:c r="J55" s="21" t="n">
        <x:v>0</x:v>
      </x:c>
      <x:c r="K55" s="21" t="n">
        <x:v>0</x:v>
      </x:c>
      <x:c r="L55" s="12" t="str">
        <x:v>Manual</x:v>
      </x:c>
      <x:c r="M55" s="12" t="n">
        <x:v>0</x:v>
      </x:c>
      <x:c r="N55" s="17" t="n">
        <x:f>IF(B55=0,0,IF(L55="Manual",IF(ISNUMBER(M55),M55,""),IF(L55="Locator",IF(AND('Locator'!$B$22="OK",COUNTIFS('Locator'!$A$31:$A$36,A55)=1),-INDEX('Locator'!$H$31:$H$36,MATCH(A55,'Locator'!$A$31:$A$36,0)),""),IF(L55="Perturbation",IF(ISNUMBER(INDEX('Sensitivity'!$H$6:$H$65,MATCH(A55,'Sensitivity'!$A$6:$A$65,0))),INDEX('Sensitivity'!$H$6:$H$65,MATCH(A55,'Sensitivity'!$A$6:$A$65,0)),""),""))))</x:f>
        <x:v>0</x:v>
      </x:c>
      <x:c r="O55" s="17" t="n">
        <x:f>IF(B55=0,0,IF(H55="Normal",IF(AND(ISNUMBER(F55),ISNUMBER(G55),ISNUMBER(I55),I55&gt;0,G55&gt;F55),(G55-F55)/(2*I55),""),IF(H55="Uniform",IF(AND(ISNUMBER(F55),ISNUMBER(G55),G55&gt;F55),(G55-F55)/SQRT(12),""),IF(H55="Measured",IF(AND(ISNUMBER(J55),J55&gt;=0),J55,""),""))))</x:f>
        <x:v>0</x:v>
      </x:c>
      <x:c r="P55" s="17" t="n">
        <x:f>IF(B55=0,0,IF(AND(ISNUMBER(N55),ISNUMBER(K55)),N55*K55,""))</x:f>
        <x:v>0</x:v>
      </x:c>
      <x:c r="Q55" s="17" t="n">
        <x:f>IF(B55=0,0,IF(AND(ISNUMBER(N55),ISNUMBER(O55)),N55*O55,""))</x:f>
        <x:v>0</x:v>
      </x:c>
      <x:c r="R55" s="17" t="n">
        <x:f>IF(ISNUMBER(Q55),Q55^2,"")</x:f>
        <x:v>0</x:v>
      </x:c>
      <x:c r="S55" s="19" t="str">
        <x:f>IF(AND(B55=1,$B$69&gt;0,ISNUMBER(R55)),R55/$B$69,"")</x:f>
      </x:c>
      <x:c r="T55" s="20" t="str">
        <x:f>IF(AND(B55=1,ISNUMBER(R55)),COUNTIFS($R$6:$R$65,"&gt;"&amp;R55,$B$6:$B$65,1)+COUNTIFS($R$6:R55,R55,$B$6:B55,1),"")</x:f>
      </x:c>
      <x:c r="U55" s="17" t="n">
        <x:f>IF(B55=0,0,IF(AND(ISNUMBER(N55),ISNUMBER(F55),ISNUMBER(G55)),MIN(N55*F55,N55*G55),""))</x:f>
        <x:v>0</x:v>
      </x:c>
      <x:c r="V55" s="17" t="n">
        <x:f>IF(B55=0,0,IF(AND(ISNUMBER(N55),ISNUMBER(F55),ISNUMBER(G55)),MAX(N55*F55,N55*G55),""))</x:f>
        <x:v>0</x:v>
      </x:c>
      <x:c r="W55" s="2" t="str">
        <x:f>IF(B55=0,"OFF",IF(B55&lt;&gt;1,"Use Include 1 or 0",IF(OR(C55="",E55=""),"Enter name and unit",IF(OR(NOT(ISNUMBER(F55)),NOT(ISNUMBER(G55)),G55&lt;=F55),"Review deviation limits",IF(NOT(ISNUMBER(K55)),"Enter mean deviation",IF(AND(H55="Uniform",ABS(K55-(F55+G55)/2)&gt;0.000000001),"Uniform mean = midpoint",IF(NOT(ISNUMBER(O55)),"Review sigma inputs",IF(AND(L55="Locator",OR(E55&lt;&gt;"mm",'Setup'!$D$7&lt;&gt;"mm")),"Locator units must be mm",IF(NOT(ISNUMBER(N55)),"Review coefficient","OK")))))))))</x:f>
        <x:v>OFF</x:v>
      </x:c>
      <x:c r="X55" s="12"/>
    </x:row>
    <x:row r="56" ht="23" customHeight="1">
      <x:c r="A56" s="2" t="str">
        <x:v>SRC051</x:v>
      </x:c>
      <x:c r="B56" s="12" t="n">
        <x:v>0</x:v>
      </x:c>
      <x:c r="C56" s="12" t="str"/>
      <x:c r="D56" s="12" t="str"/>
      <x:c r="E56" s="12" t="str">
        <x:v>mm</x:v>
      </x:c>
      <x:c r="F56" s="21" t="n">
        <x:v>-0.3</x:v>
      </x:c>
      <x:c r="G56" s="21" t="n">
        <x:v>0.3</x:v>
      </x:c>
      <x:c r="H56" s="21" t="str">
        <x:v>Normal</x:v>
      </x:c>
      <x:c r="I56" s="22" t="n">
        <x:v>3</x:v>
      </x:c>
      <x:c r="J56" s="21" t="n">
        <x:v>0</x:v>
      </x:c>
      <x:c r="K56" s="21" t="n">
        <x:v>0</x:v>
      </x:c>
      <x:c r="L56" s="12" t="str">
        <x:v>Manual</x:v>
      </x:c>
      <x:c r="M56" s="12" t="n">
        <x:v>0</x:v>
      </x:c>
      <x:c r="N56" s="17" t="n">
        <x:f>IF(B56=0,0,IF(L56="Manual",IF(ISNUMBER(M56),M56,""),IF(L56="Locator",IF(AND('Locator'!$B$22="OK",COUNTIFS('Locator'!$A$31:$A$36,A56)=1),-INDEX('Locator'!$H$31:$H$36,MATCH(A56,'Locator'!$A$31:$A$36,0)),""),IF(L56="Perturbation",IF(ISNUMBER(INDEX('Sensitivity'!$H$6:$H$65,MATCH(A56,'Sensitivity'!$A$6:$A$65,0))),INDEX('Sensitivity'!$H$6:$H$65,MATCH(A56,'Sensitivity'!$A$6:$A$65,0)),""),""))))</x:f>
        <x:v>0</x:v>
      </x:c>
      <x:c r="O56" s="17" t="n">
        <x:f>IF(B56=0,0,IF(H56="Normal",IF(AND(ISNUMBER(F56),ISNUMBER(G56),ISNUMBER(I56),I56&gt;0,G56&gt;F56),(G56-F56)/(2*I56),""),IF(H56="Uniform",IF(AND(ISNUMBER(F56),ISNUMBER(G56),G56&gt;F56),(G56-F56)/SQRT(12),""),IF(H56="Measured",IF(AND(ISNUMBER(J56),J56&gt;=0),J56,""),""))))</x:f>
        <x:v>0</x:v>
      </x:c>
      <x:c r="P56" s="17" t="n">
        <x:f>IF(B56=0,0,IF(AND(ISNUMBER(N56),ISNUMBER(K56)),N56*K56,""))</x:f>
        <x:v>0</x:v>
      </x:c>
      <x:c r="Q56" s="17" t="n">
        <x:f>IF(B56=0,0,IF(AND(ISNUMBER(N56),ISNUMBER(O56)),N56*O56,""))</x:f>
        <x:v>0</x:v>
      </x:c>
      <x:c r="R56" s="17" t="n">
        <x:f>IF(ISNUMBER(Q56),Q56^2,"")</x:f>
        <x:v>0</x:v>
      </x:c>
      <x:c r="S56" s="19" t="str">
        <x:f>IF(AND(B56=1,$B$69&gt;0,ISNUMBER(R56)),R56/$B$69,"")</x:f>
      </x:c>
      <x:c r="T56" s="20" t="str">
        <x:f>IF(AND(B56=1,ISNUMBER(R56)),COUNTIFS($R$6:$R$65,"&gt;"&amp;R56,$B$6:$B$65,1)+COUNTIFS($R$6:R56,R56,$B$6:B56,1),"")</x:f>
      </x:c>
      <x:c r="U56" s="17" t="n">
        <x:f>IF(B56=0,0,IF(AND(ISNUMBER(N56),ISNUMBER(F56),ISNUMBER(G56)),MIN(N56*F56,N56*G56),""))</x:f>
        <x:v>0</x:v>
      </x:c>
      <x:c r="V56" s="17" t="n">
        <x:f>IF(B56=0,0,IF(AND(ISNUMBER(N56),ISNUMBER(F56),ISNUMBER(G56)),MAX(N56*F56,N56*G56),""))</x:f>
        <x:v>0</x:v>
      </x:c>
      <x:c r="W56" s="2" t="str">
        <x:f>IF(B56=0,"OFF",IF(B56&lt;&gt;1,"Use Include 1 or 0",IF(OR(C56="",E56=""),"Enter name and unit",IF(OR(NOT(ISNUMBER(F56)),NOT(ISNUMBER(G56)),G56&lt;=F56),"Review deviation limits",IF(NOT(ISNUMBER(K56)),"Enter mean deviation",IF(AND(H56="Uniform",ABS(K56-(F56+G56)/2)&gt;0.000000001),"Uniform mean = midpoint",IF(NOT(ISNUMBER(O56)),"Review sigma inputs",IF(AND(L56="Locator",OR(E56&lt;&gt;"mm",'Setup'!$D$7&lt;&gt;"mm")),"Locator units must be mm",IF(NOT(ISNUMBER(N56)),"Review coefficient","OK")))))))))</x:f>
        <x:v>OFF</x:v>
      </x:c>
      <x:c r="X56" s="12"/>
    </x:row>
    <x:row r="57" ht="23" customHeight="1">
      <x:c r="A57" s="2" t="str">
        <x:v>SRC052</x:v>
      </x:c>
      <x:c r="B57" s="12" t="n">
        <x:v>0</x:v>
      </x:c>
      <x:c r="C57" s="12" t="str"/>
      <x:c r="D57" s="12" t="str"/>
      <x:c r="E57" s="12" t="str">
        <x:v>mm</x:v>
      </x:c>
      <x:c r="F57" s="21" t="n">
        <x:v>-0.3</x:v>
      </x:c>
      <x:c r="G57" s="21" t="n">
        <x:v>0.3</x:v>
      </x:c>
      <x:c r="H57" s="21" t="str">
        <x:v>Normal</x:v>
      </x:c>
      <x:c r="I57" s="22" t="n">
        <x:v>3</x:v>
      </x:c>
      <x:c r="J57" s="21" t="n">
        <x:v>0</x:v>
      </x:c>
      <x:c r="K57" s="21" t="n">
        <x:v>0</x:v>
      </x:c>
      <x:c r="L57" s="12" t="str">
        <x:v>Manual</x:v>
      </x:c>
      <x:c r="M57" s="12" t="n">
        <x:v>0</x:v>
      </x:c>
      <x:c r="N57" s="17" t="n">
        <x:f>IF(B57=0,0,IF(L57="Manual",IF(ISNUMBER(M57),M57,""),IF(L57="Locator",IF(AND('Locator'!$B$22="OK",COUNTIFS('Locator'!$A$31:$A$36,A57)=1),-INDEX('Locator'!$H$31:$H$36,MATCH(A57,'Locator'!$A$31:$A$36,0)),""),IF(L57="Perturbation",IF(ISNUMBER(INDEX('Sensitivity'!$H$6:$H$65,MATCH(A57,'Sensitivity'!$A$6:$A$65,0))),INDEX('Sensitivity'!$H$6:$H$65,MATCH(A57,'Sensitivity'!$A$6:$A$65,0)),""),""))))</x:f>
        <x:v>0</x:v>
      </x:c>
      <x:c r="O57" s="17" t="n">
        <x:f>IF(B57=0,0,IF(H57="Normal",IF(AND(ISNUMBER(F57),ISNUMBER(G57),ISNUMBER(I57),I57&gt;0,G57&gt;F57),(G57-F57)/(2*I57),""),IF(H57="Uniform",IF(AND(ISNUMBER(F57),ISNUMBER(G57),G57&gt;F57),(G57-F57)/SQRT(12),""),IF(H57="Measured",IF(AND(ISNUMBER(J57),J57&gt;=0),J57,""),""))))</x:f>
        <x:v>0</x:v>
      </x:c>
      <x:c r="P57" s="17" t="n">
        <x:f>IF(B57=0,0,IF(AND(ISNUMBER(N57),ISNUMBER(K57)),N57*K57,""))</x:f>
        <x:v>0</x:v>
      </x:c>
      <x:c r="Q57" s="17" t="n">
        <x:f>IF(B57=0,0,IF(AND(ISNUMBER(N57),ISNUMBER(O57)),N57*O57,""))</x:f>
        <x:v>0</x:v>
      </x:c>
      <x:c r="R57" s="17" t="n">
        <x:f>IF(ISNUMBER(Q57),Q57^2,"")</x:f>
        <x:v>0</x:v>
      </x:c>
      <x:c r="S57" s="19" t="str">
        <x:f>IF(AND(B57=1,$B$69&gt;0,ISNUMBER(R57)),R57/$B$69,"")</x:f>
      </x:c>
      <x:c r="T57" s="20" t="str">
        <x:f>IF(AND(B57=1,ISNUMBER(R57)),COUNTIFS($R$6:$R$65,"&gt;"&amp;R57,$B$6:$B$65,1)+COUNTIFS($R$6:R57,R57,$B$6:B57,1),"")</x:f>
      </x:c>
      <x:c r="U57" s="17" t="n">
        <x:f>IF(B57=0,0,IF(AND(ISNUMBER(N57),ISNUMBER(F57),ISNUMBER(G57)),MIN(N57*F57,N57*G57),""))</x:f>
        <x:v>0</x:v>
      </x:c>
      <x:c r="V57" s="17" t="n">
        <x:f>IF(B57=0,0,IF(AND(ISNUMBER(N57),ISNUMBER(F57),ISNUMBER(G57)),MAX(N57*F57,N57*G57),""))</x:f>
        <x:v>0</x:v>
      </x:c>
      <x:c r="W57" s="2" t="str">
        <x:f>IF(B57=0,"OFF",IF(B57&lt;&gt;1,"Use Include 1 or 0",IF(OR(C57="",E57=""),"Enter name and unit",IF(OR(NOT(ISNUMBER(F57)),NOT(ISNUMBER(G57)),G57&lt;=F57),"Review deviation limits",IF(NOT(ISNUMBER(K57)),"Enter mean deviation",IF(AND(H57="Uniform",ABS(K57-(F57+G57)/2)&gt;0.000000001),"Uniform mean = midpoint",IF(NOT(ISNUMBER(O57)),"Review sigma inputs",IF(AND(L57="Locator",OR(E57&lt;&gt;"mm",'Setup'!$D$7&lt;&gt;"mm")),"Locator units must be mm",IF(NOT(ISNUMBER(N57)),"Review coefficient","OK")))))))))</x:f>
        <x:v>OFF</x:v>
      </x:c>
      <x:c r="X57" s="12"/>
    </x:row>
    <x:row r="58" ht="23" customHeight="1">
      <x:c r="A58" s="2" t="str">
        <x:v>SRC053</x:v>
      </x:c>
      <x:c r="B58" s="12" t="n">
        <x:v>0</x:v>
      </x:c>
      <x:c r="C58" s="12" t="str"/>
      <x:c r="D58" s="12" t="str"/>
      <x:c r="E58" s="12" t="str">
        <x:v>mm</x:v>
      </x:c>
      <x:c r="F58" s="21" t="n">
        <x:v>-0.3</x:v>
      </x:c>
      <x:c r="G58" s="21" t="n">
        <x:v>0.3</x:v>
      </x:c>
      <x:c r="H58" s="21" t="str">
        <x:v>Normal</x:v>
      </x:c>
      <x:c r="I58" s="22" t="n">
        <x:v>3</x:v>
      </x:c>
      <x:c r="J58" s="21" t="n">
        <x:v>0</x:v>
      </x:c>
      <x:c r="K58" s="21" t="n">
        <x:v>0</x:v>
      </x:c>
      <x:c r="L58" s="12" t="str">
        <x:v>Manual</x:v>
      </x:c>
      <x:c r="M58" s="12" t="n">
        <x:v>0</x:v>
      </x:c>
      <x:c r="N58" s="17" t="n">
        <x:f>IF(B58=0,0,IF(L58="Manual",IF(ISNUMBER(M58),M58,""),IF(L58="Locator",IF(AND('Locator'!$B$22="OK",COUNTIFS('Locator'!$A$31:$A$36,A58)=1),-INDEX('Locator'!$H$31:$H$36,MATCH(A58,'Locator'!$A$31:$A$36,0)),""),IF(L58="Perturbation",IF(ISNUMBER(INDEX('Sensitivity'!$H$6:$H$65,MATCH(A58,'Sensitivity'!$A$6:$A$65,0))),INDEX('Sensitivity'!$H$6:$H$65,MATCH(A58,'Sensitivity'!$A$6:$A$65,0)),""),""))))</x:f>
        <x:v>0</x:v>
      </x:c>
      <x:c r="O58" s="17" t="n">
        <x:f>IF(B58=0,0,IF(H58="Normal",IF(AND(ISNUMBER(F58),ISNUMBER(G58),ISNUMBER(I58),I58&gt;0,G58&gt;F58),(G58-F58)/(2*I58),""),IF(H58="Uniform",IF(AND(ISNUMBER(F58),ISNUMBER(G58),G58&gt;F58),(G58-F58)/SQRT(12),""),IF(H58="Measured",IF(AND(ISNUMBER(J58),J58&gt;=0),J58,""),""))))</x:f>
        <x:v>0</x:v>
      </x:c>
      <x:c r="P58" s="17" t="n">
        <x:f>IF(B58=0,0,IF(AND(ISNUMBER(N58),ISNUMBER(K58)),N58*K58,""))</x:f>
        <x:v>0</x:v>
      </x:c>
      <x:c r="Q58" s="17" t="n">
        <x:f>IF(B58=0,0,IF(AND(ISNUMBER(N58),ISNUMBER(O58)),N58*O58,""))</x:f>
        <x:v>0</x:v>
      </x:c>
      <x:c r="R58" s="17" t="n">
        <x:f>IF(ISNUMBER(Q58),Q58^2,"")</x:f>
        <x:v>0</x:v>
      </x:c>
      <x:c r="S58" s="19" t="str">
        <x:f>IF(AND(B58=1,$B$69&gt;0,ISNUMBER(R58)),R58/$B$69,"")</x:f>
      </x:c>
      <x:c r="T58" s="20" t="str">
        <x:f>IF(AND(B58=1,ISNUMBER(R58)),COUNTIFS($R$6:$R$65,"&gt;"&amp;R58,$B$6:$B$65,1)+COUNTIFS($R$6:R58,R58,$B$6:B58,1),"")</x:f>
      </x:c>
      <x:c r="U58" s="17" t="n">
        <x:f>IF(B58=0,0,IF(AND(ISNUMBER(N58),ISNUMBER(F58),ISNUMBER(G58)),MIN(N58*F58,N58*G58),""))</x:f>
        <x:v>0</x:v>
      </x:c>
      <x:c r="V58" s="17" t="n">
        <x:f>IF(B58=0,0,IF(AND(ISNUMBER(N58),ISNUMBER(F58),ISNUMBER(G58)),MAX(N58*F58,N58*G58),""))</x:f>
        <x:v>0</x:v>
      </x:c>
      <x:c r="W58" s="2" t="str">
        <x:f>IF(B58=0,"OFF",IF(B58&lt;&gt;1,"Use Include 1 or 0",IF(OR(C58="",E58=""),"Enter name and unit",IF(OR(NOT(ISNUMBER(F58)),NOT(ISNUMBER(G58)),G58&lt;=F58),"Review deviation limits",IF(NOT(ISNUMBER(K58)),"Enter mean deviation",IF(AND(H58="Uniform",ABS(K58-(F58+G58)/2)&gt;0.000000001),"Uniform mean = midpoint",IF(NOT(ISNUMBER(O58)),"Review sigma inputs",IF(AND(L58="Locator",OR(E58&lt;&gt;"mm",'Setup'!$D$7&lt;&gt;"mm")),"Locator units must be mm",IF(NOT(ISNUMBER(N58)),"Review coefficient","OK")))))))))</x:f>
        <x:v>OFF</x:v>
      </x:c>
      <x:c r="X58" s="12"/>
    </x:row>
    <x:row r="59" ht="23" customHeight="1">
      <x:c r="A59" s="2" t="str">
        <x:v>SRC054</x:v>
      </x:c>
      <x:c r="B59" s="12" t="n">
        <x:v>0</x:v>
      </x:c>
      <x:c r="C59" s="12" t="str"/>
      <x:c r="D59" s="12" t="str"/>
      <x:c r="E59" s="12" t="str">
        <x:v>mm</x:v>
      </x:c>
      <x:c r="F59" s="21" t="n">
        <x:v>-0.3</x:v>
      </x:c>
      <x:c r="G59" s="21" t="n">
        <x:v>0.3</x:v>
      </x:c>
      <x:c r="H59" s="21" t="str">
        <x:v>Normal</x:v>
      </x:c>
      <x:c r="I59" s="22" t="n">
        <x:v>3</x:v>
      </x:c>
      <x:c r="J59" s="21" t="n">
        <x:v>0</x:v>
      </x:c>
      <x:c r="K59" s="21" t="n">
        <x:v>0</x:v>
      </x:c>
      <x:c r="L59" s="12" t="str">
        <x:v>Manual</x:v>
      </x:c>
      <x:c r="M59" s="12" t="n">
        <x:v>0</x:v>
      </x:c>
      <x:c r="N59" s="17" t="n">
        <x:f>IF(B59=0,0,IF(L59="Manual",IF(ISNUMBER(M59),M59,""),IF(L59="Locator",IF(AND('Locator'!$B$22="OK",COUNTIFS('Locator'!$A$31:$A$36,A59)=1),-INDEX('Locator'!$H$31:$H$36,MATCH(A59,'Locator'!$A$31:$A$36,0)),""),IF(L59="Perturbation",IF(ISNUMBER(INDEX('Sensitivity'!$H$6:$H$65,MATCH(A59,'Sensitivity'!$A$6:$A$65,0))),INDEX('Sensitivity'!$H$6:$H$65,MATCH(A59,'Sensitivity'!$A$6:$A$65,0)),""),""))))</x:f>
        <x:v>0</x:v>
      </x:c>
      <x:c r="O59" s="17" t="n">
        <x:f>IF(B59=0,0,IF(H59="Normal",IF(AND(ISNUMBER(F59),ISNUMBER(G59),ISNUMBER(I59),I59&gt;0,G59&gt;F59),(G59-F59)/(2*I59),""),IF(H59="Uniform",IF(AND(ISNUMBER(F59),ISNUMBER(G59),G59&gt;F59),(G59-F59)/SQRT(12),""),IF(H59="Measured",IF(AND(ISNUMBER(J59),J59&gt;=0),J59,""),""))))</x:f>
        <x:v>0</x:v>
      </x:c>
      <x:c r="P59" s="17" t="n">
        <x:f>IF(B59=0,0,IF(AND(ISNUMBER(N59),ISNUMBER(K59)),N59*K59,""))</x:f>
        <x:v>0</x:v>
      </x:c>
      <x:c r="Q59" s="17" t="n">
        <x:f>IF(B59=0,0,IF(AND(ISNUMBER(N59),ISNUMBER(O59)),N59*O59,""))</x:f>
        <x:v>0</x:v>
      </x:c>
      <x:c r="R59" s="17" t="n">
        <x:f>IF(ISNUMBER(Q59),Q59^2,"")</x:f>
        <x:v>0</x:v>
      </x:c>
      <x:c r="S59" s="19" t="str">
        <x:f>IF(AND(B59=1,$B$69&gt;0,ISNUMBER(R59)),R59/$B$69,"")</x:f>
      </x:c>
      <x:c r="T59" s="20" t="str">
        <x:f>IF(AND(B59=1,ISNUMBER(R59)),COUNTIFS($R$6:$R$65,"&gt;"&amp;R59,$B$6:$B$65,1)+COUNTIFS($R$6:R59,R59,$B$6:B59,1),"")</x:f>
      </x:c>
      <x:c r="U59" s="17" t="n">
        <x:f>IF(B59=0,0,IF(AND(ISNUMBER(N59),ISNUMBER(F59),ISNUMBER(G59)),MIN(N59*F59,N59*G59),""))</x:f>
        <x:v>0</x:v>
      </x:c>
      <x:c r="V59" s="17" t="n">
        <x:f>IF(B59=0,0,IF(AND(ISNUMBER(N59),ISNUMBER(F59),ISNUMBER(G59)),MAX(N59*F59,N59*G59),""))</x:f>
        <x:v>0</x:v>
      </x:c>
      <x:c r="W59" s="2" t="str">
        <x:f>IF(B59=0,"OFF",IF(B59&lt;&gt;1,"Use Include 1 or 0",IF(OR(C59="",E59=""),"Enter name and unit",IF(OR(NOT(ISNUMBER(F59)),NOT(ISNUMBER(G59)),G59&lt;=F59),"Review deviation limits",IF(NOT(ISNUMBER(K59)),"Enter mean deviation",IF(AND(H59="Uniform",ABS(K59-(F59+G59)/2)&gt;0.000000001),"Uniform mean = midpoint",IF(NOT(ISNUMBER(O59)),"Review sigma inputs",IF(AND(L59="Locator",OR(E59&lt;&gt;"mm",'Setup'!$D$7&lt;&gt;"mm")),"Locator units must be mm",IF(NOT(ISNUMBER(N59)),"Review coefficient","OK")))))))))</x:f>
        <x:v>OFF</x:v>
      </x:c>
      <x:c r="X59" s="12"/>
    </x:row>
    <x:row r="60" ht="23" customHeight="1">
      <x:c r="A60" s="2" t="str">
        <x:v>SRC055</x:v>
      </x:c>
      <x:c r="B60" s="12" t="n">
        <x:v>0</x:v>
      </x:c>
      <x:c r="C60" s="12" t="str"/>
      <x:c r="D60" s="12" t="str"/>
      <x:c r="E60" s="12" t="str">
        <x:v>mm</x:v>
      </x:c>
      <x:c r="F60" s="21" t="n">
        <x:v>-0.3</x:v>
      </x:c>
      <x:c r="G60" s="21" t="n">
        <x:v>0.3</x:v>
      </x:c>
      <x:c r="H60" s="21" t="str">
        <x:v>Normal</x:v>
      </x:c>
      <x:c r="I60" s="22" t="n">
        <x:v>3</x:v>
      </x:c>
      <x:c r="J60" s="21" t="n">
        <x:v>0</x:v>
      </x:c>
      <x:c r="K60" s="21" t="n">
        <x:v>0</x:v>
      </x:c>
      <x:c r="L60" s="12" t="str">
        <x:v>Manual</x:v>
      </x:c>
      <x:c r="M60" s="12" t="n">
        <x:v>0</x:v>
      </x:c>
      <x:c r="N60" s="17" t="n">
        <x:f>IF(B60=0,0,IF(L60="Manual",IF(ISNUMBER(M60),M60,""),IF(L60="Locator",IF(AND('Locator'!$B$22="OK",COUNTIFS('Locator'!$A$31:$A$36,A60)=1),-INDEX('Locator'!$H$31:$H$36,MATCH(A60,'Locator'!$A$31:$A$36,0)),""),IF(L60="Perturbation",IF(ISNUMBER(INDEX('Sensitivity'!$H$6:$H$65,MATCH(A60,'Sensitivity'!$A$6:$A$65,0))),INDEX('Sensitivity'!$H$6:$H$65,MATCH(A60,'Sensitivity'!$A$6:$A$65,0)),""),""))))</x:f>
        <x:v>0</x:v>
      </x:c>
      <x:c r="O60" s="17" t="n">
        <x:f>IF(B60=0,0,IF(H60="Normal",IF(AND(ISNUMBER(F60),ISNUMBER(G60),ISNUMBER(I60),I60&gt;0,G60&gt;F60),(G60-F60)/(2*I60),""),IF(H60="Uniform",IF(AND(ISNUMBER(F60),ISNUMBER(G60),G60&gt;F60),(G60-F60)/SQRT(12),""),IF(H60="Measured",IF(AND(ISNUMBER(J60),J60&gt;=0),J60,""),""))))</x:f>
        <x:v>0</x:v>
      </x:c>
      <x:c r="P60" s="17" t="n">
        <x:f>IF(B60=0,0,IF(AND(ISNUMBER(N60),ISNUMBER(K60)),N60*K60,""))</x:f>
        <x:v>0</x:v>
      </x:c>
      <x:c r="Q60" s="17" t="n">
        <x:f>IF(B60=0,0,IF(AND(ISNUMBER(N60),ISNUMBER(O60)),N60*O60,""))</x:f>
        <x:v>0</x:v>
      </x:c>
      <x:c r="R60" s="17" t="n">
        <x:f>IF(ISNUMBER(Q60),Q60^2,"")</x:f>
        <x:v>0</x:v>
      </x:c>
      <x:c r="S60" s="19" t="str">
        <x:f>IF(AND(B60=1,$B$69&gt;0,ISNUMBER(R60)),R60/$B$69,"")</x:f>
      </x:c>
      <x:c r="T60" s="20" t="str">
        <x:f>IF(AND(B60=1,ISNUMBER(R60)),COUNTIFS($R$6:$R$65,"&gt;"&amp;R60,$B$6:$B$65,1)+COUNTIFS($R$6:R60,R60,$B$6:B60,1),"")</x:f>
      </x:c>
      <x:c r="U60" s="17" t="n">
        <x:f>IF(B60=0,0,IF(AND(ISNUMBER(N60),ISNUMBER(F60),ISNUMBER(G60)),MIN(N60*F60,N60*G60),""))</x:f>
        <x:v>0</x:v>
      </x:c>
      <x:c r="V60" s="17" t="n">
        <x:f>IF(B60=0,0,IF(AND(ISNUMBER(N60),ISNUMBER(F60),ISNUMBER(G60)),MAX(N60*F60,N60*G60),""))</x:f>
        <x:v>0</x:v>
      </x:c>
      <x:c r="W60" s="2" t="str">
        <x:f>IF(B60=0,"OFF",IF(B60&lt;&gt;1,"Use Include 1 or 0",IF(OR(C60="",E60=""),"Enter name and unit",IF(OR(NOT(ISNUMBER(F60)),NOT(ISNUMBER(G60)),G60&lt;=F60),"Review deviation limits",IF(NOT(ISNUMBER(K60)),"Enter mean deviation",IF(AND(H60="Uniform",ABS(K60-(F60+G60)/2)&gt;0.000000001),"Uniform mean = midpoint",IF(NOT(ISNUMBER(O60)),"Review sigma inputs",IF(AND(L60="Locator",OR(E60&lt;&gt;"mm",'Setup'!$D$7&lt;&gt;"mm")),"Locator units must be mm",IF(NOT(ISNUMBER(N60)),"Review coefficient","OK")))))))))</x:f>
        <x:v>OFF</x:v>
      </x:c>
      <x:c r="X60" s="12"/>
    </x:row>
    <x:row r="61" ht="23" customHeight="1">
      <x:c r="A61" s="2" t="str">
        <x:v>SRC056</x:v>
      </x:c>
      <x:c r="B61" s="12" t="n">
        <x:v>0</x:v>
      </x:c>
      <x:c r="C61" s="12" t="str"/>
      <x:c r="D61" s="12" t="str"/>
      <x:c r="E61" s="12" t="str">
        <x:v>mm</x:v>
      </x:c>
      <x:c r="F61" s="21" t="n">
        <x:v>-0.3</x:v>
      </x:c>
      <x:c r="G61" s="21" t="n">
        <x:v>0.3</x:v>
      </x:c>
      <x:c r="H61" s="21" t="str">
        <x:v>Normal</x:v>
      </x:c>
      <x:c r="I61" s="22" t="n">
        <x:v>3</x:v>
      </x:c>
      <x:c r="J61" s="21" t="n">
        <x:v>0</x:v>
      </x:c>
      <x:c r="K61" s="21" t="n">
        <x:v>0</x:v>
      </x:c>
      <x:c r="L61" s="12" t="str">
        <x:v>Manual</x:v>
      </x:c>
      <x:c r="M61" s="12" t="n">
        <x:v>0</x:v>
      </x:c>
      <x:c r="N61" s="17" t="n">
        <x:f>IF(B61=0,0,IF(L61="Manual",IF(ISNUMBER(M61),M61,""),IF(L61="Locator",IF(AND('Locator'!$B$22="OK",COUNTIFS('Locator'!$A$31:$A$36,A61)=1),-INDEX('Locator'!$H$31:$H$36,MATCH(A61,'Locator'!$A$31:$A$36,0)),""),IF(L61="Perturbation",IF(ISNUMBER(INDEX('Sensitivity'!$H$6:$H$65,MATCH(A61,'Sensitivity'!$A$6:$A$65,0))),INDEX('Sensitivity'!$H$6:$H$65,MATCH(A61,'Sensitivity'!$A$6:$A$65,0)),""),""))))</x:f>
        <x:v>0</x:v>
      </x:c>
      <x:c r="O61" s="17" t="n">
        <x:f>IF(B61=0,0,IF(H61="Normal",IF(AND(ISNUMBER(F61),ISNUMBER(G61),ISNUMBER(I61),I61&gt;0,G61&gt;F61),(G61-F61)/(2*I61),""),IF(H61="Uniform",IF(AND(ISNUMBER(F61),ISNUMBER(G61),G61&gt;F61),(G61-F61)/SQRT(12),""),IF(H61="Measured",IF(AND(ISNUMBER(J61),J61&gt;=0),J61,""),""))))</x:f>
        <x:v>0</x:v>
      </x:c>
      <x:c r="P61" s="17" t="n">
        <x:f>IF(B61=0,0,IF(AND(ISNUMBER(N61),ISNUMBER(K61)),N61*K61,""))</x:f>
        <x:v>0</x:v>
      </x:c>
      <x:c r="Q61" s="17" t="n">
        <x:f>IF(B61=0,0,IF(AND(ISNUMBER(N61),ISNUMBER(O61)),N61*O61,""))</x:f>
        <x:v>0</x:v>
      </x:c>
      <x:c r="R61" s="17" t="n">
        <x:f>IF(ISNUMBER(Q61),Q61^2,"")</x:f>
        <x:v>0</x:v>
      </x:c>
      <x:c r="S61" s="19" t="str">
        <x:f>IF(AND(B61=1,$B$69&gt;0,ISNUMBER(R61)),R61/$B$69,"")</x:f>
      </x:c>
      <x:c r="T61" s="20" t="str">
        <x:f>IF(AND(B61=1,ISNUMBER(R61)),COUNTIFS($R$6:$R$65,"&gt;"&amp;R61,$B$6:$B$65,1)+COUNTIFS($R$6:R61,R61,$B$6:B61,1),"")</x:f>
      </x:c>
      <x:c r="U61" s="17" t="n">
        <x:f>IF(B61=0,0,IF(AND(ISNUMBER(N61),ISNUMBER(F61),ISNUMBER(G61)),MIN(N61*F61,N61*G61),""))</x:f>
        <x:v>0</x:v>
      </x:c>
      <x:c r="V61" s="17" t="n">
        <x:f>IF(B61=0,0,IF(AND(ISNUMBER(N61),ISNUMBER(F61),ISNUMBER(G61)),MAX(N61*F61,N61*G61),""))</x:f>
        <x:v>0</x:v>
      </x:c>
      <x:c r="W61" s="2" t="str">
        <x:f>IF(B61=0,"OFF",IF(B61&lt;&gt;1,"Use Include 1 or 0",IF(OR(C61="",E61=""),"Enter name and unit",IF(OR(NOT(ISNUMBER(F61)),NOT(ISNUMBER(G61)),G61&lt;=F61),"Review deviation limits",IF(NOT(ISNUMBER(K61)),"Enter mean deviation",IF(AND(H61="Uniform",ABS(K61-(F61+G61)/2)&gt;0.000000001),"Uniform mean = midpoint",IF(NOT(ISNUMBER(O61)),"Review sigma inputs",IF(AND(L61="Locator",OR(E61&lt;&gt;"mm",'Setup'!$D$7&lt;&gt;"mm")),"Locator units must be mm",IF(NOT(ISNUMBER(N61)),"Review coefficient","OK")))))))))</x:f>
        <x:v>OFF</x:v>
      </x:c>
      <x:c r="X61" s="12"/>
    </x:row>
    <x:row r="62" ht="23" customHeight="1">
      <x:c r="A62" s="2" t="str">
        <x:v>SRC057</x:v>
      </x:c>
      <x:c r="B62" s="12" t="n">
        <x:v>0</x:v>
      </x:c>
      <x:c r="C62" s="12" t="str"/>
      <x:c r="D62" s="12" t="str"/>
      <x:c r="E62" s="12" t="str">
        <x:v>mm</x:v>
      </x:c>
      <x:c r="F62" s="21" t="n">
        <x:v>-0.3</x:v>
      </x:c>
      <x:c r="G62" s="21" t="n">
        <x:v>0.3</x:v>
      </x:c>
      <x:c r="H62" s="21" t="str">
        <x:v>Normal</x:v>
      </x:c>
      <x:c r="I62" s="22" t="n">
        <x:v>3</x:v>
      </x:c>
      <x:c r="J62" s="21" t="n">
        <x:v>0</x:v>
      </x:c>
      <x:c r="K62" s="21" t="n">
        <x:v>0</x:v>
      </x:c>
      <x:c r="L62" s="12" t="str">
        <x:v>Manual</x:v>
      </x:c>
      <x:c r="M62" s="12" t="n">
        <x:v>0</x:v>
      </x:c>
      <x:c r="N62" s="17" t="n">
        <x:f>IF(B62=0,0,IF(L62="Manual",IF(ISNUMBER(M62),M62,""),IF(L62="Locator",IF(AND('Locator'!$B$22="OK",COUNTIFS('Locator'!$A$31:$A$36,A62)=1),-INDEX('Locator'!$H$31:$H$36,MATCH(A62,'Locator'!$A$31:$A$36,0)),""),IF(L62="Perturbation",IF(ISNUMBER(INDEX('Sensitivity'!$H$6:$H$65,MATCH(A62,'Sensitivity'!$A$6:$A$65,0))),INDEX('Sensitivity'!$H$6:$H$65,MATCH(A62,'Sensitivity'!$A$6:$A$65,0)),""),""))))</x:f>
        <x:v>0</x:v>
      </x:c>
      <x:c r="O62" s="17" t="n">
        <x:f>IF(B62=0,0,IF(H62="Normal",IF(AND(ISNUMBER(F62),ISNUMBER(G62),ISNUMBER(I62),I62&gt;0,G62&gt;F62),(G62-F62)/(2*I62),""),IF(H62="Uniform",IF(AND(ISNUMBER(F62),ISNUMBER(G62),G62&gt;F62),(G62-F62)/SQRT(12),""),IF(H62="Measured",IF(AND(ISNUMBER(J62),J62&gt;=0),J62,""),""))))</x:f>
        <x:v>0</x:v>
      </x:c>
      <x:c r="P62" s="17" t="n">
        <x:f>IF(B62=0,0,IF(AND(ISNUMBER(N62),ISNUMBER(K62)),N62*K62,""))</x:f>
        <x:v>0</x:v>
      </x:c>
      <x:c r="Q62" s="17" t="n">
        <x:f>IF(B62=0,0,IF(AND(ISNUMBER(N62),ISNUMBER(O62)),N62*O62,""))</x:f>
        <x:v>0</x:v>
      </x:c>
      <x:c r="R62" s="17" t="n">
        <x:f>IF(ISNUMBER(Q62),Q62^2,"")</x:f>
        <x:v>0</x:v>
      </x:c>
      <x:c r="S62" s="19" t="str">
        <x:f>IF(AND(B62=1,$B$69&gt;0,ISNUMBER(R62)),R62/$B$69,"")</x:f>
      </x:c>
      <x:c r="T62" s="20" t="str">
        <x:f>IF(AND(B62=1,ISNUMBER(R62)),COUNTIFS($R$6:$R$65,"&gt;"&amp;R62,$B$6:$B$65,1)+COUNTIFS($R$6:R62,R62,$B$6:B62,1),"")</x:f>
      </x:c>
      <x:c r="U62" s="17" t="n">
        <x:f>IF(B62=0,0,IF(AND(ISNUMBER(N62),ISNUMBER(F62),ISNUMBER(G62)),MIN(N62*F62,N62*G62),""))</x:f>
        <x:v>0</x:v>
      </x:c>
      <x:c r="V62" s="17" t="n">
        <x:f>IF(B62=0,0,IF(AND(ISNUMBER(N62),ISNUMBER(F62),ISNUMBER(G62)),MAX(N62*F62,N62*G62),""))</x:f>
        <x:v>0</x:v>
      </x:c>
      <x:c r="W62" s="2" t="str">
        <x:f>IF(B62=0,"OFF",IF(B62&lt;&gt;1,"Use Include 1 or 0",IF(OR(C62="",E62=""),"Enter name and unit",IF(OR(NOT(ISNUMBER(F62)),NOT(ISNUMBER(G62)),G62&lt;=F62),"Review deviation limits",IF(NOT(ISNUMBER(K62)),"Enter mean deviation",IF(AND(H62="Uniform",ABS(K62-(F62+G62)/2)&gt;0.000000001),"Uniform mean = midpoint",IF(NOT(ISNUMBER(O62)),"Review sigma inputs",IF(AND(L62="Locator",OR(E62&lt;&gt;"mm",'Setup'!$D$7&lt;&gt;"mm")),"Locator units must be mm",IF(NOT(ISNUMBER(N62)),"Review coefficient","OK")))))))))</x:f>
        <x:v>OFF</x:v>
      </x:c>
      <x:c r="X62" s="12"/>
    </x:row>
    <x:row r="63" ht="23" customHeight="1">
      <x:c r="A63" s="2" t="str">
        <x:v>SRC058</x:v>
      </x:c>
      <x:c r="B63" s="12" t="n">
        <x:v>0</x:v>
      </x:c>
      <x:c r="C63" s="12" t="str"/>
      <x:c r="D63" s="12" t="str"/>
      <x:c r="E63" s="12" t="str">
        <x:v>mm</x:v>
      </x:c>
      <x:c r="F63" s="21" t="n">
        <x:v>-0.3</x:v>
      </x:c>
      <x:c r="G63" s="21" t="n">
        <x:v>0.3</x:v>
      </x:c>
      <x:c r="H63" s="21" t="str">
        <x:v>Normal</x:v>
      </x:c>
      <x:c r="I63" s="22" t="n">
        <x:v>3</x:v>
      </x:c>
      <x:c r="J63" s="21" t="n">
        <x:v>0</x:v>
      </x:c>
      <x:c r="K63" s="21" t="n">
        <x:v>0</x:v>
      </x:c>
      <x:c r="L63" s="12" t="str">
        <x:v>Manual</x:v>
      </x:c>
      <x:c r="M63" s="12" t="n">
        <x:v>0</x:v>
      </x:c>
      <x:c r="N63" s="17" t="n">
        <x:f>IF(B63=0,0,IF(L63="Manual",IF(ISNUMBER(M63),M63,""),IF(L63="Locator",IF(AND('Locator'!$B$22="OK",COUNTIFS('Locator'!$A$31:$A$36,A63)=1),-INDEX('Locator'!$H$31:$H$36,MATCH(A63,'Locator'!$A$31:$A$36,0)),""),IF(L63="Perturbation",IF(ISNUMBER(INDEX('Sensitivity'!$H$6:$H$65,MATCH(A63,'Sensitivity'!$A$6:$A$65,0))),INDEX('Sensitivity'!$H$6:$H$65,MATCH(A63,'Sensitivity'!$A$6:$A$65,0)),""),""))))</x:f>
        <x:v>0</x:v>
      </x:c>
      <x:c r="O63" s="17" t="n">
        <x:f>IF(B63=0,0,IF(H63="Normal",IF(AND(ISNUMBER(F63),ISNUMBER(G63),ISNUMBER(I63),I63&gt;0,G63&gt;F63),(G63-F63)/(2*I63),""),IF(H63="Uniform",IF(AND(ISNUMBER(F63),ISNUMBER(G63),G63&gt;F63),(G63-F63)/SQRT(12),""),IF(H63="Measured",IF(AND(ISNUMBER(J63),J63&gt;=0),J63,""),""))))</x:f>
        <x:v>0</x:v>
      </x:c>
      <x:c r="P63" s="17" t="n">
        <x:f>IF(B63=0,0,IF(AND(ISNUMBER(N63),ISNUMBER(K63)),N63*K63,""))</x:f>
        <x:v>0</x:v>
      </x:c>
      <x:c r="Q63" s="17" t="n">
        <x:f>IF(B63=0,0,IF(AND(ISNUMBER(N63),ISNUMBER(O63)),N63*O63,""))</x:f>
        <x:v>0</x:v>
      </x:c>
      <x:c r="R63" s="17" t="n">
        <x:f>IF(ISNUMBER(Q63),Q63^2,"")</x:f>
        <x:v>0</x:v>
      </x:c>
      <x:c r="S63" s="19" t="str">
        <x:f>IF(AND(B63=1,$B$69&gt;0,ISNUMBER(R63)),R63/$B$69,"")</x:f>
      </x:c>
      <x:c r="T63" s="20" t="str">
        <x:f>IF(AND(B63=1,ISNUMBER(R63)),COUNTIFS($R$6:$R$65,"&gt;"&amp;R63,$B$6:$B$65,1)+COUNTIFS($R$6:R63,R63,$B$6:B63,1),"")</x:f>
      </x:c>
      <x:c r="U63" s="17" t="n">
        <x:f>IF(B63=0,0,IF(AND(ISNUMBER(N63),ISNUMBER(F63),ISNUMBER(G63)),MIN(N63*F63,N63*G63),""))</x:f>
        <x:v>0</x:v>
      </x:c>
      <x:c r="V63" s="17" t="n">
        <x:f>IF(B63=0,0,IF(AND(ISNUMBER(N63),ISNUMBER(F63),ISNUMBER(G63)),MAX(N63*F63,N63*G63),""))</x:f>
        <x:v>0</x:v>
      </x:c>
      <x:c r="W63" s="2" t="str">
        <x:f>IF(B63=0,"OFF",IF(B63&lt;&gt;1,"Use Include 1 or 0",IF(OR(C63="",E63=""),"Enter name and unit",IF(OR(NOT(ISNUMBER(F63)),NOT(ISNUMBER(G63)),G63&lt;=F63),"Review deviation limits",IF(NOT(ISNUMBER(K63)),"Enter mean deviation",IF(AND(H63="Uniform",ABS(K63-(F63+G63)/2)&gt;0.000000001),"Uniform mean = midpoint",IF(NOT(ISNUMBER(O63)),"Review sigma inputs",IF(AND(L63="Locator",OR(E63&lt;&gt;"mm",'Setup'!$D$7&lt;&gt;"mm")),"Locator units must be mm",IF(NOT(ISNUMBER(N63)),"Review coefficient","OK")))))))))</x:f>
        <x:v>OFF</x:v>
      </x:c>
      <x:c r="X63" s="12"/>
    </x:row>
    <x:row r="64" ht="23" customHeight="1">
      <x:c r="A64" s="2" t="str">
        <x:v>SRC059</x:v>
      </x:c>
      <x:c r="B64" s="12" t="n">
        <x:v>0</x:v>
      </x:c>
      <x:c r="C64" s="12" t="str"/>
      <x:c r="D64" s="12" t="str"/>
      <x:c r="E64" s="12" t="str">
        <x:v>mm</x:v>
      </x:c>
      <x:c r="F64" s="21" t="n">
        <x:v>-0.3</x:v>
      </x:c>
      <x:c r="G64" s="21" t="n">
        <x:v>0.3</x:v>
      </x:c>
      <x:c r="H64" s="21" t="str">
        <x:v>Normal</x:v>
      </x:c>
      <x:c r="I64" s="22" t="n">
        <x:v>3</x:v>
      </x:c>
      <x:c r="J64" s="21" t="n">
        <x:v>0</x:v>
      </x:c>
      <x:c r="K64" s="21" t="n">
        <x:v>0</x:v>
      </x:c>
      <x:c r="L64" s="12" t="str">
        <x:v>Manual</x:v>
      </x:c>
      <x:c r="M64" s="12" t="n">
        <x:v>0</x:v>
      </x:c>
      <x:c r="N64" s="17" t="n">
        <x:f>IF(B64=0,0,IF(L64="Manual",IF(ISNUMBER(M64),M64,""),IF(L64="Locator",IF(AND('Locator'!$B$22="OK",COUNTIFS('Locator'!$A$31:$A$36,A64)=1),-INDEX('Locator'!$H$31:$H$36,MATCH(A64,'Locator'!$A$31:$A$36,0)),""),IF(L64="Perturbation",IF(ISNUMBER(INDEX('Sensitivity'!$H$6:$H$65,MATCH(A64,'Sensitivity'!$A$6:$A$65,0))),INDEX('Sensitivity'!$H$6:$H$65,MATCH(A64,'Sensitivity'!$A$6:$A$65,0)),""),""))))</x:f>
        <x:v>0</x:v>
      </x:c>
      <x:c r="O64" s="17" t="n">
        <x:f>IF(B64=0,0,IF(H64="Normal",IF(AND(ISNUMBER(F64),ISNUMBER(G64),ISNUMBER(I64),I64&gt;0,G64&gt;F64),(G64-F64)/(2*I64),""),IF(H64="Uniform",IF(AND(ISNUMBER(F64),ISNUMBER(G64),G64&gt;F64),(G64-F64)/SQRT(12),""),IF(H64="Measured",IF(AND(ISNUMBER(J64),J64&gt;=0),J64,""),""))))</x:f>
        <x:v>0</x:v>
      </x:c>
      <x:c r="P64" s="17" t="n">
        <x:f>IF(B64=0,0,IF(AND(ISNUMBER(N64),ISNUMBER(K64)),N64*K64,""))</x:f>
        <x:v>0</x:v>
      </x:c>
      <x:c r="Q64" s="17" t="n">
        <x:f>IF(B64=0,0,IF(AND(ISNUMBER(N64),ISNUMBER(O64)),N64*O64,""))</x:f>
        <x:v>0</x:v>
      </x:c>
      <x:c r="R64" s="17" t="n">
        <x:f>IF(ISNUMBER(Q64),Q64^2,"")</x:f>
        <x:v>0</x:v>
      </x:c>
      <x:c r="S64" s="19" t="str">
        <x:f>IF(AND(B64=1,$B$69&gt;0,ISNUMBER(R64)),R64/$B$69,"")</x:f>
      </x:c>
      <x:c r="T64" s="20" t="str">
        <x:f>IF(AND(B64=1,ISNUMBER(R64)),COUNTIFS($R$6:$R$65,"&gt;"&amp;R64,$B$6:$B$65,1)+COUNTIFS($R$6:R64,R64,$B$6:B64,1),"")</x:f>
      </x:c>
      <x:c r="U64" s="17" t="n">
        <x:f>IF(B64=0,0,IF(AND(ISNUMBER(N64),ISNUMBER(F64),ISNUMBER(G64)),MIN(N64*F64,N64*G64),""))</x:f>
        <x:v>0</x:v>
      </x:c>
      <x:c r="V64" s="17" t="n">
        <x:f>IF(B64=0,0,IF(AND(ISNUMBER(N64),ISNUMBER(F64),ISNUMBER(G64)),MAX(N64*F64,N64*G64),""))</x:f>
        <x:v>0</x:v>
      </x:c>
      <x:c r="W64" s="2" t="str">
        <x:f>IF(B64=0,"OFF",IF(B64&lt;&gt;1,"Use Include 1 or 0",IF(OR(C64="",E64=""),"Enter name and unit",IF(OR(NOT(ISNUMBER(F64)),NOT(ISNUMBER(G64)),G64&lt;=F64),"Review deviation limits",IF(NOT(ISNUMBER(K64)),"Enter mean deviation",IF(AND(H64="Uniform",ABS(K64-(F64+G64)/2)&gt;0.000000001),"Uniform mean = midpoint",IF(NOT(ISNUMBER(O64)),"Review sigma inputs",IF(AND(L64="Locator",OR(E64&lt;&gt;"mm",'Setup'!$D$7&lt;&gt;"mm")),"Locator units must be mm",IF(NOT(ISNUMBER(N64)),"Review coefficient","OK")))))))))</x:f>
        <x:v>OFF</x:v>
      </x:c>
      <x:c r="X64" s="12"/>
    </x:row>
    <x:row r="65" ht="23" customHeight="1">
      <x:c r="A65" s="2" t="str">
        <x:v>SRC060</x:v>
      </x:c>
      <x:c r="B65" s="12" t="n">
        <x:v>0</x:v>
      </x:c>
      <x:c r="C65" s="12" t="str"/>
      <x:c r="D65" s="12" t="str"/>
      <x:c r="E65" s="12" t="str">
        <x:v>mm</x:v>
      </x:c>
      <x:c r="F65" s="21" t="n">
        <x:v>-0.3</x:v>
      </x:c>
      <x:c r="G65" s="21" t="n">
        <x:v>0.3</x:v>
      </x:c>
      <x:c r="H65" s="21" t="str">
        <x:v>Normal</x:v>
      </x:c>
      <x:c r="I65" s="22" t="n">
        <x:v>3</x:v>
      </x:c>
      <x:c r="J65" s="21" t="n">
        <x:v>0</x:v>
      </x:c>
      <x:c r="K65" s="21" t="n">
        <x:v>0</x:v>
      </x:c>
      <x:c r="L65" s="12" t="str">
        <x:v>Manual</x:v>
      </x:c>
      <x:c r="M65" s="12" t="n">
        <x:v>0</x:v>
      </x:c>
      <x:c r="N65" s="17" t="n">
        <x:f>IF(B65=0,0,IF(L65="Manual",IF(ISNUMBER(M65),M65,""),IF(L65="Locator",IF(AND('Locator'!$B$22="OK",COUNTIFS('Locator'!$A$31:$A$36,A65)=1),-INDEX('Locator'!$H$31:$H$36,MATCH(A65,'Locator'!$A$31:$A$36,0)),""),IF(L65="Perturbation",IF(ISNUMBER(INDEX('Sensitivity'!$H$6:$H$65,MATCH(A65,'Sensitivity'!$A$6:$A$65,0))),INDEX('Sensitivity'!$H$6:$H$65,MATCH(A65,'Sensitivity'!$A$6:$A$65,0)),""),""))))</x:f>
        <x:v>0</x:v>
      </x:c>
      <x:c r="O65" s="17" t="n">
        <x:f>IF(B65=0,0,IF(H65="Normal",IF(AND(ISNUMBER(F65),ISNUMBER(G65),ISNUMBER(I65),I65&gt;0,G65&gt;F65),(G65-F65)/(2*I65),""),IF(H65="Uniform",IF(AND(ISNUMBER(F65),ISNUMBER(G65),G65&gt;F65),(G65-F65)/SQRT(12),""),IF(H65="Measured",IF(AND(ISNUMBER(J65),J65&gt;=0),J65,""),""))))</x:f>
        <x:v>0</x:v>
      </x:c>
      <x:c r="P65" s="17" t="n">
        <x:f>IF(B65=0,0,IF(AND(ISNUMBER(N65),ISNUMBER(K65)),N65*K65,""))</x:f>
        <x:v>0</x:v>
      </x:c>
      <x:c r="Q65" s="17" t="n">
        <x:f>IF(B65=0,0,IF(AND(ISNUMBER(N65),ISNUMBER(O65)),N65*O65,""))</x:f>
        <x:v>0</x:v>
      </x:c>
      <x:c r="R65" s="17" t="n">
        <x:f>IF(ISNUMBER(Q65),Q65^2,"")</x:f>
        <x:v>0</x:v>
      </x:c>
      <x:c r="S65" s="19" t="str">
        <x:f>IF(AND(B65=1,$B$69&gt;0,ISNUMBER(R65)),R65/$B$69,"")</x:f>
      </x:c>
      <x:c r="T65" s="20" t="str">
        <x:f>IF(AND(B65=1,ISNUMBER(R65)),COUNTIFS($R$6:$R$65,"&gt;"&amp;R65,$B$6:$B$65,1)+COUNTIFS($R$6:R65,R65,$B$6:B65,1),"")</x:f>
      </x:c>
      <x:c r="U65" s="17" t="n">
        <x:f>IF(B65=0,0,IF(AND(ISNUMBER(N65),ISNUMBER(F65),ISNUMBER(G65)),MIN(N65*F65,N65*G65),""))</x:f>
        <x:v>0</x:v>
      </x:c>
      <x:c r="V65" s="17" t="n">
        <x:f>IF(B65=0,0,IF(AND(ISNUMBER(N65),ISNUMBER(F65),ISNUMBER(G65)),MAX(N65*F65,N65*G65),""))</x:f>
        <x:v>0</x:v>
      </x:c>
      <x:c r="W65" s="2" t="str">
        <x:f>IF(B65=0,"OFF",IF(B65&lt;&gt;1,"Use Include 1 or 0",IF(OR(C65="",E65=""),"Enter name and unit",IF(OR(NOT(ISNUMBER(F65)),NOT(ISNUMBER(G65)),G65&lt;=F65),"Review deviation limits",IF(NOT(ISNUMBER(K65)),"Enter mean deviation",IF(AND(H65="Uniform",ABS(K65-(F65+G65)/2)&gt;0.000000001),"Uniform mean = midpoint",IF(NOT(ISNUMBER(O65)),"Review sigma inputs",IF(AND(L65="Locator",OR(E65&lt;&gt;"mm",'Setup'!$D$7&lt;&gt;"mm")),"Locator units must be mm",IF(NOT(ISNUMBER(N65)),"Review coefficient","OK")))))))))</x:f>
        <x:v>OFF</x:v>
      </x:c>
      <x:c r="X65" s="1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23" customHeight="1">
      <x:c r="A69" s="2" t="str">
        <x:v>Total independent variance</x:v>
      </x:c>
      <x:c r="B69" s="17" t="n">
        <x:f>SUM(R6:R65)</x:f>
        <x:v>0.07264211248285322</x:v>
      </x:c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23" customHeight="1">
      <x:c r="A70" s="2" t="str">
        <x:v>Total mean effect</x:v>
      </x:c>
      <x:c r="B70" s="17" t="n">
        <x:f>SUM(P6:P65)</x:f>
        <x:v>-0.02</x:v>
      </x:c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23" customHeight="1">
      <x:c r="A71" s="2" t="str">
        <x:v>Lower tolerance-box effect</x:v>
      </x:c>
      <x:c r="B71" s="17" t="n">
        <x:f>SUM(U6:U65)</x:f>
        <x:v>-2.224807919218978</x:v>
      </x:c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23" customHeight="1">
      <x:c r="A72" s="2" t="str">
        <x:v>Upper tolerance-box effect</x:v>
      </x:c>
      <x:c r="B72" s="17" t="n">
        <x:f>SUM(V6:V65)</x:f>
        <x:v>2.224807919218978</x:v>
      </x:c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23" customHeight="1">
      <x:c r="A73" s="2" t="str">
        <x:v>RSS standard deviation</x:v>
      </x:c>
      <x:c r="B73" s="17" t="n">
        <x:f>SQRT(B69)</x:f>
        <x:v>0.269522007418417</x:v>
      </x:c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23" customHeight="1">
      <x:c r="A74" s="2" t="str">
        <x:v>Invalid active / include rows</x:v>
      </x:c>
      <x:c r="B74" s="23" t="n">
        <x:f>COUNTIFS(B6:B65,1,W6:W65,"&lt;&gt;OK")+COUNTIFS(B6:B65,"&lt;&gt;0",B6:B65,"&lt;&gt;1")</x:f>
        <x:v>0</x:v>
      </x:c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23" customHeight="1">
      <x:c r="A75" s="2" t="str">
        <x:v>Active sources</x:v>
      </x:c>
      <x:c r="B75" s="23" t="n">
        <x:f>COUNTIFS(B6:B65,1)</x:f>
        <x:v>13</x:v>
      </x:c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30" customHeight="1">
      <x:c r="A78" s="6" t="str">
        <x:v>Normal σ = (upper - lower)/(2 × input k). Uniform σ = (upper - lower)/√12. Measured σ uses the spread of individual parts. All deviations and input σ use the input unit in column E.</x:v>
      </x:c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30" customHeight="1">
      <x:c r="A80" s="6" t="str">
        <x:v>Input deviation limits are bounds of the scalar model. A linear tolerance-box envelope is not an exact worst-case GD&amp;T-zone or nonlinear assembly solution.</x:v>
      </x:c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30" customHeight="1">
      <x:c r="A82" s="6" t="str">
        <x:v>Method source: NIST TN 1297, Appendix A, first-order sensitivities, covariance and uniform distribution: https://www.nist.gov/pml/nist-technical-note-1297/nist-tn-1297-appendix-law-propagation-uncertainty</x:v>
      </x:c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30" customHeight="1">
      <x:c r="A84" s="6" t="str">
        <x:v>Model structure reference: 3DCS, How to Create a Tolerance Analysis Model: https://mkt.3dcs.com/how-to-create-a-tolerance-analysis-model-3dcs-variation-analyst . All numerical inputs in this file are illustrative assumptions.</x:v>
      </x:c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</x:row>
  </x:sheetData>
  <x:mergeCells>
    <x:mergeCell ref="A4:X4"/>
    <x:mergeCell ref="A78:X78"/>
    <x:mergeCell ref="A80:X80"/>
    <x:mergeCell ref="A82:X82"/>
    <x:mergeCell ref="A84:X84"/>
  </x:mergeCells>
  <x:conditionalFormatting sqref="W6:W65">
    <x:cfRule type="expression" dxfId="2" priority="1">
      <x:formula>AND(W6&lt;&gt;"OK",W6&lt;&gt;"OFF")</x:formula>
    </x:cfRule>
  </x:conditionalFormatting>
  <x:dataValidations count="3">
    <x:dataValidation type="list" sqref="B6:B65">
      <x:formula1>"0,1"</x:formula1>
    </x:dataValidation>
    <x:dataValidation type="list" sqref="H6:H65">
      <x:formula1>"Normal,Uniform,Measured"</x:formula1>
    </x:dataValidation>
    <x:dataValidation type="list" sqref="L6:L65">
      <x:formula1>"Manual,Locator,Perturbation"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13" hidden="0" customWidth="1"/>
    <x:col min="4" max="4" width="13" hidden="0" customWidth="1"/>
    <x:col min="5" max="5" width="2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Locator-derived sensitivities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6" customHeight="1">
      <x:c r="A4" s="6" t="str">
        <x:v>Rigid small-motion model: three Z-normal supports, an X/Y round locator, and a Y-constraining slot. Locator features lie in local Z = 0. All coordinates are mm.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42" customHeight="1">
      <x:c r="A5" s="10" t="str">
        <x:v>Feature</x:v>
      </x:c>
      <x:c r="B5" s="10" t="str">
        <x:v>X (mm)</x:v>
      </x:c>
      <x:c r="C5" s="10" t="str">
        <x:v>Y (mm)</x:v>
      </x:c>
      <x:c r="D5" s="10" t="str">
        <x:v>Z (mm)</x:v>
      </x:c>
      <x:c r="E5" s="10" t="str">
        <x:v>Meaning</x:v>
      </x:c>
      <x:c r="F5" s="2"/>
      <x:c r="G5" s="10" t="str">
        <x:v>Direction</x:v>
      </x:c>
      <x:c r="H5" s="10" t="str">
        <x:v>Input</x:v>
      </x:c>
      <x:c r="I5" s="10" t="str">
        <x:v>Unit vector</x:v>
      </x:c>
      <x:c r="J5" s="10" t="str">
        <x:v>Meaning</x:v>
      </x:c>
      <x:c r="K5" s="2"/>
      <x:c r="L5" s="2"/>
    </x:row>
    <x:row r="6" ht="23" customHeight="1">
      <x:c r="A6" s="2" t="str">
        <x:v>A1</x:v>
      </x:c>
      <x:c r="B6" s="13" t="n">
        <x:v>0</x:v>
      </x:c>
      <x:c r="C6" s="13" t="n">
        <x:v>0</x:v>
      </x:c>
      <x:c r="D6" s="13" t="n">
        <x:v>0</x:v>
      </x:c>
      <x:c r="E6" s="2" t="str">
        <x:v>Primary support 1</x:v>
      </x:c>
      <x:c r="F6" s="2"/>
      <x:c r="G6" s="2" t="str">
        <x:v>nX</x:v>
      </x:c>
      <x:c r="H6" s="12" t="n">
        <x:v>0.7071067811865476</x:v>
      </x:c>
      <x:c r="I6" s="17" t="n">
        <x:f>IF($H$10=0,"",H6/$H$10)</x:f>
        <x:v>0.7071067811865476</x:v>
      </x:c>
      <x:c r="J6" s="2" t="str">
        <x:v>Fixed output direction</x:v>
      </x:c>
      <x:c r="K6" s="2"/>
      <x:c r="L6" s="2"/>
    </x:row>
    <x:row r="7" ht="23" customHeight="1">
      <x:c r="A7" s="2" t="str">
        <x:v>A2</x:v>
      </x:c>
      <x:c r="B7" s="13" t="n">
        <x:v>120</x:v>
      </x:c>
      <x:c r="C7" s="13" t="n">
        <x:v>0</x:v>
      </x:c>
      <x:c r="D7" s="13" t="n">
        <x:v>0</x:v>
      </x:c>
      <x:c r="E7" s="2" t="str">
        <x:v>Primary support 2</x:v>
      </x:c>
      <x:c r="F7" s="2"/>
      <x:c r="G7" s="2" t="str">
        <x:v>nY</x:v>
      </x:c>
      <x:c r="H7" s="12" t="n">
        <x:v>0</x:v>
      </x:c>
      <x:c r="I7" s="17" t="n">
        <x:f>IF($H$10=0,"",H7/$H$10)</x:f>
        <x:v>0</x:v>
      </x:c>
      <x:c r="J7" s="2" t="str">
        <x:v>Normalized automatically</x:v>
      </x:c>
      <x:c r="K7" s="2"/>
      <x:c r="L7" s="2"/>
    </x:row>
    <x:row r="8" ht="23" customHeight="1">
      <x:c r="A8" s="2" t="str">
        <x:v>A3</x:v>
      </x:c>
      <x:c r="B8" s="13" t="n">
        <x:v>20</x:v>
      </x:c>
      <x:c r="C8" s="13" t="n">
        <x:v>90</x:v>
      </x:c>
      <x:c r="D8" s="13" t="n">
        <x:v>0</x:v>
      </x:c>
      <x:c r="E8" s="2" t="str">
        <x:v>Primary support 3</x:v>
      </x:c>
      <x:c r="F8" s="2"/>
      <x:c r="G8" s="2" t="str">
        <x:v>nZ</x:v>
      </x:c>
      <x:c r="H8" s="12" t="n">
        <x:v>0.7071067811865476</x:v>
      </x:c>
      <x:c r="I8" s="17" t="n">
        <x:f>IF($H$10=0,"",H8/$H$10)</x:f>
        <x:v>0.7071067811865476</x:v>
      </x:c>
      <x:c r="J8" s="2" t="str">
        <x:v>No Euler angles needed</x:v>
      </x:c>
      <x:c r="K8" s="2"/>
      <x:c r="L8" s="2"/>
    </x:row>
    <x:row r="9" ht="23" customHeight="1">
      <x:c r="A9" s="2" t="str">
        <x:v>B</x:v>
      </x:c>
      <x:c r="B9" s="13" t="n">
        <x:v>0</x:v>
      </x:c>
      <x:c r="C9" s="13" t="n">
        <x:v>0</x:v>
      </x:c>
      <x:c r="D9" s="13" t="n">
        <x:v>0</x:v>
      </x:c>
      <x:c r="E9" s="2" t="str">
        <x:v>Round locator</x:v>
      </x:c>
      <x:c r="F9" s="2"/>
      <x:c r="G9" s="2"/>
      <x:c r="H9" s="2"/>
      <x:c r="I9" s="2"/>
      <x:c r="J9" s="2"/>
      <x:c r="K9" s="2"/>
      <x:c r="L9" s="2"/>
    </x:row>
    <x:row r="10" ht="23" customHeight="1">
      <x:c r="A10" s="2" t="str">
        <x:v>C</x:v>
      </x:c>
      <x:c r="B10" s="13" t="n">
        <x:v>120</x:v>
      </x:c>
      <x:c r="C10" s="13" t="n">
        <x:v>0</x:v>
      </x:c>
      <x:c r="D10" s="13" t="n">
        <x:v>0</x:v>
      </x:c>
      <x:c r="E10" s="2" t="str">
        <x:v>Slot; transverse Y</x:v>
      </x:c>
      <x:c r="F10" s="2"/>
      <x:c r="G10" s="2" t="str">
        <x:v>Vector length</x:v>
      </x:c>
      <x:c r="H10" s="2" t="n">
        <x:f>SQRT(SUMSQ(H6:H8))</x:f>
        <x:v>1</x:v>
      </x:c>
      <x:c r="I10" s="2"/>
      <x:c r="J10" s="2"/>
      <x:c r="K10" s="2"/>
      <x:c r="L10" s="2"/>
    </x:row>
    <x:row r="11" ht="23" customHeight="1">
      <x:c r="A11" s="2" t="str">
        <x:v>M</x:v>
      </x:c>
      <x:c r="B11" s="13" t="n">
        <x:v>220</x:v>
      </x:c>
      <x:c r="C11" s="13" t="n">
        <x:v>80</x:v>
      </x:c>
      <x:c r="D11" s="13" t="n">
        <x:v>60</x:v>
      </x:c>
      <x:c r="E11" s="2" t="str">
        <x:v>Sensor measurement point</x:v>
      </x:c>
      <x:c r="F11" s="2"/>
      <x:c r="G11" s="2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42" customHeight="1">
      <x:c r="A15" s="10" t="str">
        <x:v>Geometry term</x:v>
      </x:c>
      <x:c r="B15" s="10" t="str">
        <x:v>Value</x:v>
      </x:c>
      <x:c r="C15" s="10" t="str"/>
      <x:c r="D15" s="10" t="str">
        <x:v>Definition</x:v>
      </x:c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 t="str">
        <x:v>dx2</x:v>
      </x:c>
      <x:c r="B16" s="17" t="n">
        <x:f>B7-B6</x:f>
        <x:v>120</x:v>
      </x:c>
      <x:c r="C16" s="2"/>
      <x:c r="D16" s="2" t="str">
        <x:v>A2 X - A1 X</x:v>
      </x:c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 t="str">
        <x:v>dy2</x:v>
      </x:c>
      <x:c r="B17" s="17" t="n">
        <x:f>C7-C6</x:f>
        <x:v>0</x:v>
      </x:c>
      <x:c r="C17" s="2"/>
      <x:c r="D17" s="2" t="str">
        <x:v>A2 Y - A1 Y</x:v>
      </x:c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 t="str">
        <x:v>dx3</x:v>
      </x:c>
      <x:c r="B18" s="17" t="n">
        <x:f>B8-B6</x:f>
        <x:v>20</x:v>
      </x:c>
      <x:c r="C18" s="2"/>
      <x:c r="D18" s="2" t="str">
        <x:v>A3 X - A1 X</x:v>
      </x:c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 t="str">
        <x:v>dy3</x:v>
      </x:c>
      <x:c r="B19" s="17" t="n">
        <x:f>C8-C6</x:f>
        <x:v>90</x:v>
      </x:c>
      <x:c r="C19" s="2"/>
      <x:c r="D19" s="2" t="str">
        <x:v>A3 Y - A1 Y</x:v>
      </x:c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 t="str">
        <x:v>Support determinant</x:v>
      </x:c>
      <x:c r="B20" s="17" t="n">
        <x:f>B16*B19-B18*B17</x:f>
        <x:v>10800</x:v>
      </x:c>
      <x:c r="C20" s="2"/>
      <x:c r="D20" s="2" t="str">
        <x:v>Nonzero means 3 supports are not collinear</x:v>
      </x:c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 t="str">
        <x:v>Pin / slot X span</x:v>
      </x:c>
      <x:c r="B21" s="17" t="n">
        <x:f>B10-B9</x:f>
        <x:v>120</x:v>
      </x:c>
      <x:c r="C21" s="2"/>
      <x:c r="D21" s="2" t="str">
        <x:v>Nonzero for this transverse-Y slot scheme</x:v>
      </x:c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 t="str">
        <x:v>Geometry status</x:v>
      </x:c>
      <x:c r="B22" s="2" t="str">
        <x:f>IF(OR(COUNT(B6:D11)&lt;&gt;18,COUNT(H6:H8)&lt;&gt;3),"Review numeric inputs",IF(OR(D6&lt;&gt;0,D7&lt;&gt;0,D8&lt;&gt;0,D9&lt;&gt;0,D10&lt;&gt;0),"Locators must have Z = 0",IF(OR(ABS(B20)&lt;0.000001,ABS(B21)&lt;0.000001,H10=0),"Invalid locating geometry","OK")))</x:f>
        <x:v>OK</x:v>
      </x:c>
      <x:c r="C22" s="2"/>
      <x:c r="D22" s="2" t="str">
        <x:v>Only this locating configuration is supported</x:v>
      </x:c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42" customHeight="1">
      <x:c r="A25" s="2"/>
      <x:c r="B25" s="2"/>
      <x:c r="C25" s="2"/>
      <x:c r="D25" s="2"/>
      <x:c r="E25" s="2"/>
      <x:c r="F25" s="2"/>
      <x:c r="G25" s="10" t="str">
        <x:v>Point lever</x:v>
      </x:c>
      <x:c r="H25" s="10" t="str">
        <x:v>Value</x:v>
      </x:c>
      <x:c r="I25" s="10" t="str"/>
      <x:c r="J25" s="10" t="str">
        <x:v>Definition</x:v>
      </x:c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 t="str">
        <x:v>rX weight</x:v>
      </x:c>
      <x:c r="H26" s="17" t="n">
        <x:f>I8*C11-I7*D11</x:f>
        <x:v>56.568542494923804</x:v>
      </x:c>
      <x:c r="I26" s="2"/>
      <x:c r="J26" s="2" t="str">
        <x:v>nZ·Y - nY·Z</x:v>
      </x:c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 t="str">
        <x:v>rY weight</x:v>
      </x:c>
      <x:c r="H27" s="17" t="n">
        <x:f>I6*D11-I8*B11</x:f>
        <x:v>-113.13708498984761</x:v>
      </x:c>
      <x:c r="I27" s="2"/>
      <x:c r="J27" s="2" t="str">
        <x:v>nX·Z - nZ·X</x:v>
      </x:c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 t="str">
        <x:v>rZ weight</x:v>
      </x:c>
      <x:c r="H28" s="17" t="n">
        <x:f>I7*B11-I6*C11</x:f>
        <x:v>-56.568542494923804</x:v>
      </x:c>
      <x:c r="I28" s="2"/>
      <x:c r="J28" s="2" t="str">
        <x:v>nY·X - nX·Y</x:v>
      </x:c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43" customHeight="1">
      <x:c r="A30" s="10" t="str">
        <x:v>Source ID</x:v>
      </x:c>
      <x:c r="B30" s="10" t="str">
        <x:v>tx / input</x:v>
      </x:c>
      <x:c r="C30" s="10" t="str">
        <x:v>ty / input</x:v>
      </x:c>
      <x:c r="D30" s="10" t="str">
        <x:v>tz / input</x:v>
      </x:c>
      <x:c r="E30" s="10" t="str">
        <x:v>rx / input</x:v>
      </x:c>
      <x:c r="F30" s="10" t="str">
        <x:v>ry / input</x:v>
      </x:c>
      <x:c r="G30" s="10" t="str">
        <x:v>rz / input</x:v>
      </x:c>
      <x:c r="H30" s="10" t="str">
        <x:v>Sensor c</x:v>
      </x:c>
      <x:c r="I30" s="2"/>
      <x:c r="J30" s="2" t="str">
        <x:v>Trial source deviation (mm)</x:v>
      </x:c>
      <x:c r="K30" s="2"/>
      <x:c r="L30" s="2"/>
    </x:row>
    <x:row r="31" ht="23" customHeight="1">
      <x:c r="A31" s="2" t="str">
        <x:v>SRC001</x:v>
      </x:c>
      <x:c r="B31" s="18" t="n">
        <x:v>0</x:v>
      </x:c>
      <x:c r="C31" s="18" t="n">
        <x:v>0</x:v>
      </x:c>
      <x:c r="D31" s="18" t="n">
        <x:f>IF($B$22&lt;&gt;"OK","",1-$C$6*E31+$B$6*F31)</x:f>
        <x:v>1</x:v>
      </x:c>
      <x:c r="E31" s="18" t="n">
        <x:f>IF($B$22&lt;&gt;"OK","",($B$18-$B$16)/$B$20)</x:f>
        <x:v>-0.009259259259259259</x:v>
      </x:c>
      <x:c r="F31" s="18" t="n">
        <x:f>IF($B$22&lt;&gt;"OK","",($B$19-$B$17)/$B$20)</x:f>
        <x:v>0.008333333333333333</x:v>
      </x:c>
      <x:c r="G31" s="18" t="n">
        <x:v>0</x:v>
      </x:c>
      <x:c r="H31" s="18" t="n">
        <x:f>IF($B$22&lt;&gt;"OK","",$I$6*B31+$I$7*C31+$I$8*D31+$H$26*E31+$H$27*F31+$H$28*G31)</x:f>
        <x:v>-0.7594850612744398</x:v>
      </x:c>
      <x:c r="I31" s="2"/>
      <x:c r="J31" s="12" t="n">
        <x:v>0</x:v>
      </x:c>
      <x:c r="K31" s="2"/>
      <x:c r="L31" s="2"/>
    </x:row>
    <x:row r="32" ht="23" customHeight="1">
      <x:c r="A32" s="2" t="str">
        <x:v>SRC002</x:v>
      </x:c>
      <x:c r="B32" s="18" t="n">
        <x:v>0</x:v>
      </x:c>
      <x:c r="C32" s="18" t="n">
        <x:v>0</x:v>
      </x:c>
      <x:c r="D32" s="18" t="n">
        <x:f>IF($B$22&lt;&gt;"OK","",-$C$6*E32+$B$6*F32)</x:f>
        <x:v>0</x:v>
      </x:c>
      <x:c r="E32" s="18" t="n">
        <x:f>IF($B$22&lt;&gt;"OK","",-$B$18/$B$20)</x:f>
        <x:v>-0.001851851851851852</x:v>
      </x:c>
      <x:c r="F32" s="18" t="n">
        <x:f>IF($B$22&lt;&gt;"OK","",-$B$19/$B$20)</x:f>
        <x:v>-0.008333333333333333</x:v>
      </x:c>
      <x:c r="G32" s="18" t="n">
        <x:v>0</x:v>
      </x:c>
      <x:c r="H32" s="18" t="n">
        <x:f>IF($B$22&lt;&gt;"OK","",$I$6*B32+$I$7*C32+$I$8*D32+$H$26*E32+$H$27*F32+$H$28*G32)</x:f>
        <x:v>0.8380524814062785</x:v>
      </x:c>
      <x:c r="I32" s="2"/>
      <x:c r="J32" s="12" t="n">
        <x:v>0</x:v>
      </x:c>
      <x:c r="K32" s="2"/>
      <x:c r="L32" s="2"/>
    </x:row>
    <x:row r="33" ht="23" customHeight="1">
      <x:c r="A33" s="2" t="str">
        <x:v>SRC003</x:v>
      </x:c>
      <x:c r="B33" s="18" t="n">
        <x:v>0</x:v>
      </x:c>
      <x:c r="C33" s="18" t="n">
        <x:v>0</x:v>
      </x:c>
      <x:c r="D33" s="18" t="n">
        <x:f>IF($B$22&lt;&gt;"OK","",-$C$6*E33+$B$6*F33)</x:f>
        <x:v>0</x:v>
      </x:c>
      <x:c r="E33" s="18" t="n">
        <x:f>IF($B$22&lt;&gt;"OK","",$B$16/$B$20)</x:f>
        <x:v>0.011111111111111112</x:v>
      </x:c>
      <x:c r="F33" s="18" t="n">
        <x:f>IF($B$22&lt;&gt;"OK","",$B$17/$B$20)</x:f>
        <x:v>0</x:v>
      </x:c>
      <x:c r="G33" s="18" t="n">
        <x:v>0</x:v>
      </x:c>
      <x:c r="H33" s="18" t="n">
        <x:f>IF($B$22&lt;&gt;"OK","",$I$6*B33+$I$7*C33+$I$8*D33+$H$26*E33+$H$27*F33+$H$28*G33)</x:f>
        <x:v>0.628539361054709</x:v>
      </x:c>
      <x:c r="I33" s="2"/>
      <x:c r="J33" s="12" t="n">
        <x:v>0</x:v>
      </x:c>
      <x:c r="K33" s="2"/>
      <x:c r="L33" s="2"/>
    </x:row>
    <x:row r="34" ht="23" customHeight="1">
      <x:c r="A34" s="2" t="str">
        <x:v>SRC004</x:v>
      </x:c>
      <x:c r="B34" s="18" t="n">
        <x:v>1</x:v>
      </x:c>
      <x:c r="C34" s="18" t="n">
        <x:v>0</x:v>
      </x:c>
      <x:c r="D34" s="18" t="n">
        <x:v>0</x:v>
      </x:c>
      <x:c r="E34" s="18" t="n">
        <x:v>0</x:v>
      </x:c>
      <x:c r="F34" s="18" t="n">
        <x:v>0</x:v>
      </x:c>
      <x:c r="G34" s="18" t="n">
        <x:v>0</x:v>
      </x:c>
      <x:c r="H34" s="18" t="n">
        <x:f>IF($B$22&lt;&gt;"OK","",$I$6*B34+$I$7*C34+$I$8*D34+$H$26*E34+$H$27*F34+$H$28*G34)</x:f>
        <x:v>0.7071067811865476</x:v>
      </x:c>
      <x:c r="I34" s="2"/>
      <x:c r="J34" s="12" t="n">
        <x:v>0</x:v>
      </x:c>
      <x:c r="K34" s="2"/>
      <x:c r="L34" s="2"/>
    </x:row>
    <x:row r="35" ht="23" customHeight="1">
      <x:c r="A35" s="2" t="str">
        <x:v>SRC005</x:v>
      </x:c>
      <x:c r="B35" s="18" t="n">
        <x:f>IF($B$22&lt;&gt;"OK","",$C$9*G35)</x:f>
        <x:v>0</x:v>
      </x:c>
      <x:c r="C35" s="18" t="n">
        <x:f>IF($B$22&lt;&gt;"OK","",1-$B$9*G35)</x:f>
        <x:v>1</x:v>
      </x:c>
      <x:c r="D35" s="18" t="n">
        <x:v>0</x:v>
      </x:c>
      <x:c r="E35" s="18" t="n">
        <x:v>0</x:v>
      </x:c>
      <x:c r="F35" s="18" t="n">
        <x:v>0</x:v>
      </x:c>
      <x:c r="G35" s="18" t="n">
        <x:f>IF($B$22&lt;&gt;"OK","",-1/$B$21)</x:f>
        <x:v>-0.008333333333333333</x:v>
      </x:c>
      <x:c r="H35" s="18" t="n">
        <x:f>IF($B$22&lt;&gt;"OK","",$I$6*B35+$I$7*C35+$I$8*D35+$H$26*E35+$H$27*F35+$H$28*G35)</x:f>
        <x:v>0.4714045207910317</x:v>
      </x:c>
      <x:c r="I35" s="2"/>
      <x:c r="J35" s="12" t="n">
        <x:v>0</x:v>
      </x:c>
      <x:c r="K35" s="2"/>
      <x:c r="L35" s="2"/>
    </x:row>
    <x:row r="36" ht="23" customHeight="1">
      <x:c r="A36" s="2" t="str">
        <x:v>SRC006</x:v>
      </x:c>
      <x:c r="B36" s="18" t="n">
        <x:f>IF($B$22&lt;&gt;"OK","",$C$9*G36)</x:f>
        <x:v>0</x:v>
      </x:c>
      <x:c r="C36" s="18" t="n">
        <x:f>IF($B$22&lt;&gt;"OK","",-$B$9*G36)</x:f>
        <x:v>0</x:v>
      </x:c>
      <x:c r="D36" s="18" t="n">
        <x:v>0</x:v>
      </x:c>
      <x:c r="E36" s="18" t="n">
        <x:v>0</x:v>
      </x:c>
      <x:c r="F36" s="18" t="n">
        <x:v>0</x:v>
      </x:c>
      <x:c r="G36" s="18" t="n">
        <x:f>IF($B$22&lt;&gt;"OK","",1/$B$21)</x:f>
        <x:v>0.008333333333333333</x:v>
      </x:c>
      <x:c r="H36" s="18" t="n">
        <x:f>IF($B$22&lt;&gt;"OK","",$I$6*B36+$I$7*C36+$I$8*D36+$H$26*E36+$H$27*F36+$H$28*G36)</x:f>
        <x:v>-0.4714045207910317</x:v>
      </x:c>
      <x:c r="I36" s="2"/>
      <x:c r="J36" s="12" t="n">
        <x:v>0</x:v>
      </x:c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42" customHeight="1">
      <x:c r="A40" s="10" t="str">
        <x:v>Quantity</x:v>
      </x:c>
      <x:c r="B40" s="10" t="str">
        <x:v>Value</x:v>
      </x:c>
      <x:c r="C40" s="10" t="str"/>
      <x:c r="D40" s="10" t="str"/>
      <x:c r="E40" s="10" t="str"/>
      <x:c r="F40" s="10" t="str"/>
      <x:c r="G40" s="10" t="str"/>
      <x:c r="H40" s="10" t="str">
        <x:v>Unit / meaning</x:v>
      </x:c>
      <x:c r="I40" s="2"/>
      <x:c r="J40" s="2"/>
      <x:c r="K40" s="2"/>
      <x:c r="L40" s="2"/>
    </x:row>
    <x:row r="41" ht="23" customHeight="1">
      <x:c r="A41" s="2" t="str">
        <x:v>tx</x:v>
      </x:c>
      <x:c r="B41" s="18" t="n">
        <x:f>IF($B$22&lt;&gt;"OK","",SUMPRODUCT(B31:B36,$J$31:$J$36))</x:f>
        <x:v>0</x:v>
      </x:c>
      <x:c r="C41" s="2"/>
      <x:c r="D41" s="2"/>
      <x:c r="E41" s="2"/>
      <x:c r="F41" s="2"/>
      <x:c r="G41" s="2"/>
      <x:c r="H41" s="2" t="str">
        <x:v>mm</x:v>
      </x:c>
      <x:c r="I41" s="2"/>
      <x:c r="J41" s="2"/>
      <x:c r="K41" s="2"/>
      <x:c r="L41" s="2"/>
    </x:row>
    <x:row r="42" ht="23" customHeight="1">
      <x:c r="A42" s="2" t="str">
        <x:v>ty</x:v>
      </x:c>
      <x:c r="B42" s="18" t="n">
        <x:f>IF($B$22&lt;&gt;"OK","",SUMPRODUCT(C31:C36,$J$31:$J$36))</x:f>
        <x:v>0</x:v>
      </x:c>
      <x:c r="C42" s="2"/>
      <x:c r="D42" s="2"/>
      <x:c r="E42" s="2"/>
      <x:c r="F42" s="2"/>
      <x:c r="G42" s="2"/>
      <x:c r="H42" s="2" t="str">
        <x:v>mm</x:v>
      </x:c>
      <x:c r="I42" s="2"/>
      <x:c r="J42" s="2"/>
      <x:c r="K42" s="2"/>
      <x:c r="L42" s="2"/>
    </x:row>
    <x:row r="43" ht="23" customHeight="1">
      <x:c r="A43" s="2" t="str">
        <x:v>tz</x:v>
      </x:c>
      <x:c r="B43" s="18" t="n">
        <x:f>IF($B$22&lt;&gt;"OK","",SUMPRODUCT(D31:D36,$J$31:$J$36))</x:f>
        <x:v>0</x:v>
      </x:c>
      <x:c r="C43" s="2"/>
      <x:c r="D43" s="2"/>
      <x:c r="E43" s="2"/>
      <x:c r="F43" s="2"/>
      <x:c r="G43" s="2"/>
      <x:c r="H43" s="2" t="str">
        <x:v>mm</x:v>
      </x:c>
      <x:c r="I43" s="2"/>
      <x:c r="J43" s="2"/>
      <x:c r="K43" s="2"/>
      <x:c r="L43" s="2"/>
    </x:row>
    <x:row r="44" ht="23" customHeight="1">
      <x:c r="A44" s="2" t="str">
        <x:v>rx</x:v>
      </x:c>
      <x:c r="B44" s="18" t="n">
        <x:f>IF($B$22&lt;&gt;"OK","",SUMPRODUCT(E31:E36,$J$31:$J$36))</x:f>
        <x:v>0</x:v>
      </x:c>
      <x:c r="C44" s="2"/>
      <x:c r="D44" s="2"/>
      <x:c r="E44" s="2"/>
      <x:c r="F44" s="2"/>
      <x:c r="G44" s="2"/>
      <x:c r="H44" s="2" t="str">
        <x:v>rad</x:v>
      </x:c>
      <x:c r="I44" s="2"/>
      <x:c r="J44" s="2"/>
      <x:c r="K44" s="2"/>
      <x:c r="L44" s="2"/>
    </x:row>
    <x:row r="45" ht="23" customHeight="1">
      <x:c r="A45" s="2" t="str">
        <x:v>ry</x:v>
      </x:c>
      <x:c r="B45" s="18" t="n">
        <x:f>IF($B$22&lt;&gt;"OK","",SUMPRODUCT(F31:F36,$J$31:$J$36))</x:f>
        <x:v>0</x:v>
      </x:c>
      <x:c r="C45" s="2"/>
      <x:c r="D45" s="2"/>
      <x:c r="E45" s="2"/>
      <x:c r="F45" s="2"/>
      <x:c r="G45" s="2"/>
      <x:c r="H45" s="2" t="str">
        <x:v>rad</x:v>
      </x:c>
      <x:c r="I45" s="2"/>
      <x:c r="J45" s="2"/>
      <x:c r="K45" s="2"/>
      <x:c r="L45" s="2"/>
    </x:row>
    <x:row r="46" ht="23" customHeight="1">
      <x:c r="A46" s="2" t="str">
        <x:v>rz</x:v>
      </x:c>
      <x:c r="B46" s="18" t="n">
        <x:f>IF($B$22&lt;&gt;"OK","",SUMPRODUCT(G31:G36,$J$31:$J$36))</x:f>
        <x:v>0</x:v>
      </x:c>
      <x:c r="C46" s="2"/>
      <x:c r="D46" s="2"/>
      <x:c r="E46" s="2"/>
      <x:c r="F46" s="2"/>
      <x:c r="G46" s="2"/>
      <x:c r="H46" s="2" t="str">
        <x:v>rad</x:v>
      </x:c>
      <x:c r="I46" s="2"/>
      <x:c r="J46" s="2"/>
      <x:c r="K46" s="2"/>
      <x:c r="L46" s="2"/>
    </x:row>
    <x:row r="47" ht="23" customHeight="1">
      <x:c r="A47" s="2" t="str">
        <x:v>Sensor projected motion</x:v>
      </x:c>
      <x:c r="B47" s="18" t="n">
        <x:f>IF($B$22&lt;&gt;"OK","",SUMPRODUCT(H31:H36,$J$31:$J$36))</x:f>
        <x:v>0</x:v>
      </x:c>
      <x:c r="C47" s="2"/>
      <x:c r="D47" s="2"/>
      <x:c r="E47" s="2"/>
      <x:c r="F47" s="2"/>
      <x:c r="G47" s="2"/>
      <x:c r="H47" s="2" t="str">
        <x:v>mm</x:v>
      </x:c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40" customHeight="1">
      <x:c r="A50" s="6" t="str">
        <x:v>Trial deviations J31:J36 are for deterministic checks only. They do not feed the RSS budget. Stack uses -Sensor c because gap = fascia position - sensor position.</x:v>
      </x:c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40" customHeight="1">
      <x:c r="A52" s="6" t="str">
        <x:v>Support input order: SRC001 = A1 normal error; SRC002 = A2; SRC003 = A3; SRC004 = round X; SRC005 = round Y; SRC006 = slot transverse Y. Each is an effective relative interface error.</x:v>
      </x:c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48" customHeight="1">
      <x:c r="A54" s="6" t="str">
        <x:v>Changing this locator geometry updates those six RSS coefficients automatically. Other constraints, compliance, contact switching, pin clearance, GD&amp;T zones and capture/release behaviour need their own assembly model.</x:v>
      </x:c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4:L4"/>
    <x:mergeCell ref="D16:L16"/>
    <x:mergeCell ref="D17:L17"/>
    <x:mergeCell ref="D18:L18"/>
    <x:mergeCell ref="D19:L19"/>
    <x:mergeCell ref="D20:L20"/>
    <x:mergeCell ref="D21:L21"/>
    <x:mergeCell ref="D22:L22"/>
    <x:mergeCell ref="A50:L50"/>
    <x:mergeCell ref="A52:L52"/>
    <x:mergeCell ref="A54:L54"/>
  </x:mergeCells>
  <x:conditionalFormatting sqref="B22:B22">
    <x:cfRule type="expression" dxfId="0" priority="1">
      <x:formula>B22&lt;&gt;"OK"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23" hidden="0" customWidth="1"/>
    <x:col min="12" max="12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Coefficients from perturbation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6" customHeight="1">
      <x:c r="A4" s="6" t="str">
        <x:v>For an active source: reassemble at +h and -h, then enter the two final output values. Optional ±h/2 runs check local linearity. Use absolute output values in Setup output units.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42" customHeight="1">
      <x:c r="A5" s="10" t="str">
        <x:v>Source ID</x:v>
      </x:c>
      <x:c r="B5" s="10" t="str">
        <x:v>Source name</x:v>
      </x:c>
      <x:c r="C5" s="10" t="str">
        <x:v>h (input unit)</x:v>
      </x:c>
      <x:c r="D5" s="10" t="str">
        <x:v>y(+h)</x:v>
      </x:c>
      <x:c r="E5" s="10" t="str">
        <x:v>y(-h)</x:v>
      </x:c>
      <x:c r="F5" s="10" t="str">
        <x:v>y(+h/2)</x:v>
      </x:c>
      <x:c r="G5" s="10" t="str">
        <x:v>y(-h/2)</x:v>
      </x:c>
      <x:c r="H5" s="10" t="str">
        <x:v>c at h</x:v>
      </x:c>
      <x:c r="I5" s="10" t="str">
        <x:v>c at h/2</x:v>
      </x:c>
      <x:c r="J5" s="10" t="str">
        <x:v>Slope difference</x:v>
      </x:c>
      <x:c r="K5" s="10" t="str">
        <x:v>Input status</x:v>
      </x:c>
      <x:c r="L5" s="10" t="str">
        <x:v>Output unit</x:v>
      </x:c>
    </x:row>
    <x:row r="6" ht="23" customHeight="1">
      <x:c r="A6" s="2" t="str">
        <x:v>SRC001</x:v>
      </x:c>
      <x:c r="B6" s="2" t="str">
        <x:f>IF('Stack'!C6="","",'Stack'!C6)</x:f>
        <x:v>A1 effective support height</x:v>
      </x:c>
      <x:c r="C6" s="12"/>
      <x:c r="D6" s="12"/>
      <x:c r="E6" s="12"/>
      <x:c r="F6" s="12"/>
      <x:c r="G6" s="12"/>
      <x:c r="H6" s="17" t="str">
        <x:f>IF(AND(ISNUMBER(C6),C6&gt;0,ISNUMBER(D6),ISNUMBER(E6)),(D6-E6)/(2*C6),"")</x:f>
      </x:c>
      <x:c r="I6" s="17" t="str">
        <x:f>IF(AND(ISNUMBER(C6),C6&gt;0,ISNUMBER(F6),ISNUMBER(G6)),(F6-G6)/C6,"")</x:f>
      </x:c>
      <x:c r="J6" s="19" t="str">
        <x:f>IF(AND(ISNUMBER(H6),ISNUMBER(I6)),ABS(H6-I6)/MAX(ABS(H6),ABS(I6),0.000000001),"")</x:f>
      </x:c>
      <x:c r="K6" s="2" t="str">
        <x:f>IF(COUNT(C6:G6)=0,"Unused",IF(NOT(ISNUMBER(H6)),"Enter h and ±h",IF(AND(ISNUMBER(J6),J6&gt;0.05),"Slope changes &gt;5%","OK")))</x:f>
        <x:v>Unused</x:v>
      </x:c>
      <x:c r="L6" s="2" t="str">
        <x:f>'Setup'!$D$7</x:f>
        <x:v>mm</x:v>
      </x:c>
    </x:row>
    <x:row r="7" ht="23" customHeight="1">
      <x:c r="A7" s="2" t="str">
        <x:v>SRC002</x:v>
      </x:c>
      <x:c r="B7" s="2" t="str">
        <x:f>IF('Stack'!C7="","",'Stack'!C7)</x:f>
        <x:v>A2 effective support height</x:v>
      </x:c>
      <x:c r="C7" s="12"/>
      <x:c r="D7" s="12"/>
      <x:c r="E7" s="12"/>
      <x:c r="F7" s="12"/>
      <x:c r="G7" s="12"/>
      <x:c r="H7" s="17" t="str">
        <x:f>IF(AND(ISNUMBER(C7),C7&gt;0,ISNUMBER(D7),ISNUMBER(E7)),(D7-E7)/(2*C7),"")</x:f>
      </x:c>
      <x:c r="I7" s="17" t="str">
        <x:f>IF(AND(ISNUMBER(C7),C7&gt;0,ISNUMBER(F7),ISNUMBER(G7)),(F7-G7)/C7,"")</x:f>
      </x:c>
      <x:c r="J7" s="19" t="str">
        <x:f>IF(AND(ISNUMBER(H7),ISNUMBER(I7)),ABS(H7-I7)/MAX(ABS(H7),ABS(I7),0.000000001),"")</x:f>
      </x:c>
      <x:c r="K7" s="2" t="str">
        <x:f>IF(COUNT(C7:G7)=0,"Unused",IF(NOT(ISNUMBER(H7)),"Enter h and ±h",IF(AND(ISNUMBER(J7),J7&gt;0.05),"Slope changes &gt;5%","OK")))</x:f>
        <x:v>Unused</x:v>
      </x:c>
      <x:c r="L7" s="2" t="str">
        <x:f>'Setup'!$D$7</x:f>
        <x:v>mm</x:v>
      </x:c>
    </x:row>
    <x:row r="8" ht="23" customHeight="1">
      <x:c r="A8" s="2" t="str">
        <x:v>SRC003</x:v>
      </x:c>
      <x:c r="B8" s="2" t="str">
        <x:f>IF('Stack'!C8="","",'Stack'!C8)</x:f>
        <x:v>A3 effective support height</x:v>
      </x:c>
      <x:c r="C8" s="12"/>
      <x:c r="D8" s="12"/>
      <x:c r="E8" s="12"/>
      <x:c r="F8" s="12"/>
      <x:c r="G8" s="12"/>
      <x:c r="H8" s="17" t="str">
        <x:f>IF(AND(ISNUMBER(C8),C8&gt;0,ISNUMBER(D8),ISNUMBER(E8)),(D8-E8)/(2*C8),"")</x:f>
      </x:c>
      <x:c r="I8" s="17" t="str">
        <x:f>IF(AND(ISNUMBER(C8),C8&gt;0,ISNUMBER(F8),ISNUMBER(G8)),(F8-G8)/C8,"")</x:f>
      </x:c>
      <x:c r="J8" s="19" t="str">
        <x:f>IF(AND(ISNUMBER(H8),ISNUMBER(I8)),ABS(H8-I8)/MAX(ABS(H8),ABS(I8),0.000000001),"")</x:f>
      </x:c>
      <x:c r="K8" s="2" t="str">
        <x:f>IF(COUNT(C8:G8)=0,"Unused",IF(NOT(ISNUMBER(H8)),"Enter h and ±h",IF(AND(ISNUMBER(J8),J8&gt;0.05),"Slope changes &gt;5%","OK")))</x:f>
        <x:v>Unused</x:v>
      </x:c>
      <x:c r="L8" s="2" t="str">
        <x:f>'Setup'!$D$7</x:f>
        <x:v>mm</x:v>
      </x:c>
    </x:row>
    <x:row r="9" ht="23" customHeight="1">
      <x:c r="A9" s="2" t="str">
        <x:v>SRC004</x:v>
      </x:c>
      <x:c r="B9" s="2" t="str">
        <x:f>IF('Stack'!C9="","",'Stack'!C9)</x:f>
        <x:v>Round locator X error</x:v>
      </x:c>
      <x:c r="C9" s="12"/>
      <x:c r="D9" s="12"/>
      <x:c r="E9" s="12"/>
      <x:c r="F9" s="12"/>
      <x:c r="G9" s="12"/>
      <x:c r="H9" s="17" t="str">
        <x:f>IF(AND(ISNUMBER(C9),C9&gt;0,ISNUMBER(D9),ISNUMBER(E9)),(D9-E9)/(2*C9),"")</x:f>
      </x:c>
      <x:c r="I9" s="17" t="str">
        <x:f>IF(AND(ISNUMBER(C9),C9&gt;0,ISNUMBER(F9),ISNUMBER(G9)),(F9-G9)/C9,"")</x:f>
      </x:c>
      <x:c r="J9" s="19" t="str">
        <x:f>IF(AND(ISNUMBER(H9),ISNUMBER(I9)),ABS(H9-I9)/MAX(ABS(H9),ABS(I9),0.000000001),"")</x:f>
      </x:c>
      <x:c r="K9" s="2" t="str">
        <x:f>IF(COUNT(C9:G9)=0,"Unused",IF(NOT(ISNUMBER(H9)),"Enter h and ±h",IF(AND(ISNUMBER(J9),J9&gt;0.05),"Slope changes &gt;5%","OK")))</x:f>
        <x:v>Unused</x:v>
      </x:c>
      <x:c r="L9" s="2" t="str">
        <x:f>'Setup'!$D$7</x:f>
        <x:v>mm</x:v>
      </x:c>
    </x:row>
    <x:row r="10" ht="23" customHeight="1">
      <x:c r="A10" s="2" t="str">
        <x:v>SRC005</x:v>
      </x:c>
      <x:c r="B10" s="2" t="str">
        <x:f>IF('Stack'!C10="","",'Stack'!C10)</x:f>
        <x:v>Round locator Y error</x:v>
      </x:c>
      <x:c r="C10" s="12"/>
      <x:c r="D10" s="12"/>
      <x:c r="E10" s="12"/>
      <x:c r="F10" s="12"/>
      <x:c r="G10" s="12"/>
      <x:c r="H10" s="17" t="str">
        <x:f>IF(AND(ISNUMBER(C10),C10&gt;0,ISNUMBER(D10),ISNUMBER(E10)),(D10-E10)/(2*C10),"")</x:f>
      </x:c>
      <x:c r="I10" s="17" t="str">
        <x:f>IF(AND(ISNUMBER(C10),C10&gt;0,ISNUMBER(F10),ISNUMBER(G10)),(F10-G10)/C10,"")</x:f>
      </x:c>
      <x:c r="J10" s="19" t="str">
        <x:f>IF(AND(ISNUMBER(H10),ISNUMBER(I10)),ABS(H10-I10)/MAX(ABS(H10),ABS(I10),0.000000001),"")</x:f>
      </x:c>
      <x:c r="K10" s="2" t="str">
        <x:f>IF(COUNT(C10:G10)=0,"Unused",IF(NOT(ISNUMBER(H10)),"Enter h and ±h",IF(AND(ISNUMBER(J10),J10&gt;0.05),"Slope changes &gt;5%","OK")))</x:f>
        <x:v>Unused</x:v>
      </x:c>
      <x:c r="L10" s="2" t="str">
        <x:f>'Setup'!$D$7</x:f>
        <x:v>mm</x:v>
      </x:c>
    </x:row>
    <x:row r="11" ht="23" customHeight="1">
      <x:c r="A11" s="2" t="str">
        <x:v>SRC006</x:v>
      </x:c>
      <x:c r="B11" s="2" t="str">
        <x:f>IF('Stack'!C11="","",'Stack'!C11)</x:f>
        <x:v>Slot transverse Y error</x:v>
      </x:c>
      <x:c r="C11" s="12"/>
      <x:c r="D11" s="12"/>
      <x:c r="E11" s="12"/>
      <x:c r="F11" s="12"/>
      <x:c r="G11" s="12"/>
      <x:c r="H11" s="17" t="str">
        <x:f>IF(AND(ISNUMBER(C11),C11&gt;0,ISNUMBER(D11),ISNUMBER(E11)),(D11-E11)/(2*C11),"")</x:f>
      </x:c>
      <x:c r="I11" s="17" t="str">
        <x:f>IF(AND(ISNUMBER(C11),C11&gt;0,ISNUMBER(F11),ISNUMBER(G11)),(F11-G11)/C11,"")</x:f>
      </x:c>
      <x:c r="J11" s="19" t="str">
        <x:f>IF(AND(ISNUMBER(H11),ISNUMBER(I11)),ABS(H11-I11)/MAX(ABS(H11),ABS(I11),0.000000001),"")</x:f>
      </x:c>
      <x:c r="K11" s="2" t="str">
        <x:f>IF(COUNT(C11:G11)=0,"Unused",IF(NOT(ISNUMBER(H11)),"Enter h and ±h",IF(AND(ISNUMBER(J11),J11&gt;0.05),"Slope changes &gt;5%","OK")))</x:f>
        <x:v>Unused</x:v>
      </x:c>
      <x:c r="L11" s="2" t="str">
        <x:f>'Setup'!$D$7</x:f>
        <x:v>mm</x:v>
      </x:c>
    </x:row>
    <x:row r="12" ht="23" customHeight="1">
      <x:c r="A12" s="2" t="str">
        <x:v>SRC007</x:v>
      </x:c>
      <x:c r="B12" s="2" t="str">
        <x:f>IF('Stack'!C12="","",'Stack'!C12)</x:f>
        <x:v>Fascia clip location</x:v>
      </x:c>
      <x:c r="C12" s="12"/>
      <x:c r="D12" s="12"/>
      <x:c r="E12" s="12"/>
      <x:c r="F12" s="12"/>
      <x:c r="G12" s="12"/>
      <x:c r="H12" s="17" t="str">
        <x:f>IF(AND(ISNUMBER(C12),C12&gt;0,ISNUMBER(D12),ISNUMBER(E12)),(D12-E12)/(2*C12),"")</x:f>
      </x:c>
      <x:c r="I12" s="17" t="str">
        <x:f>IF(AND(ISNUMBER(C12),C12&gt;0,ISNUMBER(F12),ISNUMBER(G12)),(F12-G12)/C12,"")</x:f>
      </x:c>
      <x:c r="J12" s="19" t="str">
        <x:f>IF(AND(ISNUMBER(H12),ISNUMBER(I12)),ABS(H12-I12)/MAX(ABS(H12),ABS(I12),0.000000001),"")</x:f>
      </x:c>
      <x:c r="K12" s="2" t="str">
        <x:f>IF(COUNT(C12:G12)=0,"Unused",IF(NOT(ISNUMBER(H12)),"Enter h and ±h",IF(AND(ISNUMBER(J12),J12&gt;0.05),"Slope changes &gt;5%","OK")))</x:f>
        <x:v>Unused</x:v>
      </x:c>
      <x:c r="L12" s="2" t="str">
        <x:f>'Setup'!$D$7</x:f>
        <x:v>mm</x:v>
      </x:c>
    </x:row>
    <x:row r="13" ht="23" customHeight="1">
      <x:c r="A13" s="2" t="str">
        <x:v>SRC008</x:v>
      </x:c>
      <x:c r="B13" s="2" t="str">
        <x:f>IF('Stack'!C13="","",'Stack'!C13)</x:f>
        <x:v>Fascia local gap feature</x:v>
      </x:c>
      <x:c r="C13" s="12"/>
      <x:c r="D13" s="12"/>
      <x:c r="E13" s="12"/>
      <x:c r="F13" s="12"/>
      <x:c r="G13" s="12"/>
      <x:c r="H13" s="17" t="str">
        <x:f>IF(AND(ISNUMBER(C13),C13&gt;0,ISNUMBER(D13),ISNUMBER(E13)),(D13-E13)/(2*C13),"")</x:f>
      </x:c>
      <x:c r="I13" s="17" t="str">
        <x:f>IF(AND(ISNUMBER(C13),C13&gt;0,ISNUMBER(F13),ISNUMBER(G13)),(F13-G13)/C13,"")</x:f>
      </x:c>
      <x:c r="J13" s="19" t="str">
        <x:f>IF(AND(ISNUMBER(H13),ISNUMBER(I13)),ABS(H13-I13)/MAX(ABS(H13),ABS(I13),0.000000001),"")</x:f>
      </x:c>
      <x:c r="K13" s="2" t="str">
        <x:f>IF(COUNT(C13:G13)=0,"Unused",IF(NOT(ISNUMBER(H13)),"Enter h and ±h",IF(AND(ISNUMBER(J13),J13&gt;0.05),"Slope changes &gt;5%","OK")))</x:f>
        <x:v>Unused</x:v>
      </x:c>
      <x:c r="L13" s="2" t="str">
        <x:f>'Setup'!$D$7</x:f>
        <x:v>mm</x:v>
      </x:c>
    </x:row>
    <x:row r="14" ht="23" customHeight="1">
      <x:c r="A14" s="2" t="str">
        <x:v>SRC009</x:v>
      </x:c>
      <x:c r="B14" s="2" t="str">
        <x:f>IF('Stack'!C14="","",'Stack'!C14)</x:f>
        <x:v>Sensor functional offset</x:v>
      </x:c>
      <x:c r="C14" s="12"/>
      <x:c r="D14" s="12"/>
      <x:c r="E14" s="12"/>
      <x:c r="F14" s="12"/>
      <x:c r="G14" s="12"/>
      <x:c r="H14" s="17" t="str">
        <x:f>IF(AND(ISNUMBER(C14),C14&gt;0,ISNUMBER(D14),ISNUMBER(E14)),(D14-E14)/(2*C14),"")</x:f>
      </x:c>
      <x:c r="I14" s="17" t="str">
        <x:f>IF(AND(ISNUMBER(C14),C14&gt;0,ISNUMBER(F14),ISNUMBER(G14)),(F14-G14)/C14,"")</x:f>
      </x:c>
      <x:c r="J14" s="19" t="str">
        <x:f>IF(AND(ISNUMBER(H14),ISNUMBER(I14)),ABS(H14-I14)/MAX(ABS(H14),ABS(I14),0.000000001),"")</x:f>
      </x:c>
      <x:c r="K14" s="2" t="str">
        <x:f>IF(COUNT(C14:G14)=0,"Unused",IF(NOT(ISNUMBER(H14)),"Enter h and ±h",IF(AND(ISNUMBER(J14),J14&gt;0.05),"Slope changes &gt;5%","OK")))</x:f>
        <x:v>Unused</x:v>
      </x:c>
      <x:c r="L14" s="2" t="str">
        <x:f>'Setup'!$D$7</x:f>
        <x:v>mm</x:v>
      </x:c>
    </x:row>
    <x:row r="15" ht="23" customHeight="1">
      <x:c r="A15" s="2" t="str">
        <x:v>SRC010</x:v>
      </x:c>
      <x:c r="B15" s="2" t="str">
        <x:f>IF('Stack'!C15="","",'Stack'!C15)</x:f>
        <x:v>Shared body reference mode</x:v>
      </x:c>
      <x:c r="C15" s="12"/>
      <x:c r="D15" s="12"/>
      <x:c r="E15" s="12"/>
      <x:c r="F15" s="12"/>
      <x:c r="G15" s="12"/>
      <x:c r="H15" s="17" t="str">
        <x:f>IF(AND(ISNUMBER(C15),C15&gt;0,ISNUMBER(D15),ISNUMBER(E15)),(D15-E15)/(2*C15),"")</x:f>
      </x:c>
      <x:c r="I15" s="17" t="str">
        <x:f>IF(AND(ISNUMBER(C15),C15&gt;0,ISNUMBER(F15),ISNUMBER(G15)),(F15-G15)/C15,"")</x:f>
      </x:c>
      <x:c r="J15" s="19" t="str">
        <x:f>IF(AND(ISNUMBER(H15),ISNUMBER(I15)),ABS(H15-I15)/MAX(ABS(H15),ABS(I15),0.000000001),"")</x:f>
      </x:c>
      <x:c r="K15" s="2" t="str">
        <x:f>IF(COUNT(C15:G15)=0,"Unused",IF(NOT(ISNUMBER(H15)),"Enter h and ±h",IF(AND(ISNUMBER(J15),J15&gt;0.05),"Slope changes &gt;5%","OK")))</x:f>
        <x:v>Unused</x:v>
      </x:c>
      <x:c r="L15" s="2" t="str">
        <x:f>'Setup'!$D$7</x:f>
        <x:v>mm</x:v>
      </x:c>
    </x:row>
    <x:row r="16" ht="23" customHeight="1">
      <x:c r="A16" s="2" t="str">
        <x:v>SRC011</x:v>
      </x:c>
      <x:c r="B16" s="2" t="str">
        <x:f>IF('Stack'!C16="","",'Stack'!C16)</x:f>
        <x:v>Captured fixture deviation</x:v>
      </x:c>
      <x:c r="C16" s="12"/>
      <x:c r="D16" s="12"/>
      <x:c r="E16" s="12"/>
      <x:c r="F16" s="12"/>
      <x:c r="G16" s="12"/>
      <x:c r="H16" s="17" t="str">
        <x:f>IF(AND(ISNUMBER(C16),C16&gt;0,ISNUMBER(D16),ISNUMBER(E16)),(D16-E16)/(2*C16),"")</x:f>
      </x:c>
      <x:c r="I16" s="17" t="str">
        <x:f>IF(AND(ISNUMBER(C16),C16&gt;0,ISNUMBER(F16),ISNUMBER(G16)),(F16-G16)/C16,"")</x:f>
      </x:c>
      <x:c r="J16" s="19" t="str">
        <x:f>IF(AND(ISNUMBER(H16),ISNUMBER(I16)),ABS(H16-I16)/MAX(ABS(H16),ABS(I16),0.000000001),"")</x:f>
      </x:c>
      <x:c r="K16" s="2" t="str">
        <x:f>IF(COUNT(C16:G16)=0,"Unused",IF(NOT(ISNUMBER(H16)),"Enter h and ±h",IF(AND(ISNUMBER(J16),J16&gt;0.05),"Slope changes &gt;5%","OK")))</x:f>
        <x:v>Unused</x:v>
      </x:c>
      <x:c r="L16" s="2" t="str">
        <x:f>'Setup'!$D$7</x:f>
        <x:v>mm</x:v>
      </x:c>
    </x:row>
    <x:row r="17" ht="23" customHeight="1">
      <x:c r="A17" s="2" t="str">
        <x:v>SRC012</x:v>
      </x:c>
      <x:c r="B17" s="2" t="str">
        <x:f>IF('Stack'!C17="","",'Stack'!C17)</x:f>
        <x:v>Independent angular mode</x:v>
      </x:c>
      <x:c r="C17" s="12"/>
      <x:c r="D17" s="12"/>
      <x:c r="E17" s="12"/>
      <x:c r="F17" s="12"/>
      <x:c r="G17" s="12"/>
      <x:c r="H17" s="17" t="str">
        <x:f>IF(AND(ISNUMBER(C17),C17&gt;0,ISNUMBER(D17),ISNUMBER(E17)),(D17-E17)/(2*C17),"")</x:f>
      </x:c>
      <x:c r="I17" s="17" t="str">
        <x:f>IF(AND(ISNUMBER(C17),C17&gt;0,ISNUMBER(F17),ISNUMBER(G17)),(F17-G17)/C17,"")</x:f>
      </x:c>
      <x:c r="J17" s="19" t="str">
        <x:f>IF(AND(ISNUMBER(H17),ISNUMBER(I17)),ABS(H17-I17)/MAX(ABS(H17),ABS(I17),0.000000001),"")</x:f>
      </x:c>
      <x:c r="K17" s="2" t="str">
        <x:f>IF(COUNT(C17:G17)=0,"Unused",IF(NOT(ISNUMBER(H17)),"Enter h and ±h",IF(AND(ISNUMBER(J17),J17&gt;0.05),"Slope changes &gt;5%","OK")))</x:f>
        <x:v>Unused</x:v>
      </x:c>
      <x:c r="L17" s="2" t="str">
        <x:f>'Setup'!$D$7</x:f>
        <x:v>mm</x:v>
      </x:c>
    </x:row>
    <x:row r="18" ht="23" customHeight="1">
      <x:c r="A18" s="2" t="str">
        <x:v>SRC013</x:v>
      </x:c>
      <x:c r="B18" s="2" t="str">
        <x:f>IF('Stack'!C18="","",'Stack'!C18)</x:f>
        <x:v>Other assembly source</x:v>
      </x:c>
      <x:c r="C18" s="12" t="n">
        <x:v>0.1</x:v>
      </x:c>
      <x:c r="D18" s="12" t="n">
        <x:v>3.06</x:v>
      </x:c>
      <x:c r="E18" s="12" t="n">
        <x:v>2.94</x:v>
      </x:c>
      <x:c r="F18" s="12" t="n">
        <x:v>3.03</x:v>
      </x:c>
      <x:c r="G18" s="12" t="n">
        <x:v>2.97</x:v>
      </x:c>
      <x:c r="H18" s="17" t="n">
        <x:f>IF(AND(ISNUMBER(C18),C18&gt;0,ISNUMBER(D18),ISNUMBER(E18)),(D18-E18)/(2*C18),"")</x:f>
        <x:v>0.6000000000000005</x:v>
      </x:c>
      <x:c r="I18" s="17" t="n">
        <x:f>IF(AND(ISNUMBER(C18),C18&gt;0,ISNUMBER(F18),ISNUMBER(G18)),(F18-G18)/C18,"")</x:f>
        <x:v>0.5999999999999961</x:v>
      </x:c>
      <x:c r="J18" s="19" t="n">
        <x:f>IF(AND(ISNUMBER(H18),ISNUMBER(I18)),ABS(H18-I18)/MAX(ABS(H18),ABS(I18),0.000000001),"")</x:f>
        <x:v>7.401486830834371e-15</x:v>
      </x:c>
      <x:c r="K18" s="2" t="str">
        <x:f>IF(COUNT(C18:G18)=0,"Unused",IF(NOT(ISNUMBER(H18)),"Enter h and ±h",IF(AND(ISNUMBER(J18),J18&gt;0.05),"Slope changes &gt;5%","OK")))</x:f>
        <x:v>OK</x:v>
      </x:c>
      <x:c r="L18" s="2" t="str">
        <x:f>'Setup'!$D$7</x:f>
        <x:v>mm</x:v>
      </x:c>
    </x:row>
    <x:row r="19" ht="23" customHeight="1">
      <x:c r="A19" s="2" t="str">
        <x:v>SRC014</x:v>
      </x:c>
      <x:c r="B19" s="2" t="str">
        <x:f>IF('Stack'!C19="","",'Stack'!C19)</x:f>
      </x:c>
      <x:c r="C19" s="12"/>
      <x:c r="D19" s="12"/>
      <x:c r="E19" s="12"/>
      <x:c r="F19" s="12"/>
      <x:c r="G19" s="12"/>
      <x:c r="H19" s="17" t="str">
        <x:f>IF(AND(ISNUMBER(C19),C19&gt;0,ISNUMBER(D19),ISNUMBER(E19)),(D19-E19)/(2*C19),"")</x:f>
      </x:c>
      <x:c r="I19" s="17" t="str">
        <x:f>IF(AND(ISNUMBER(C19),C19&gt;0,ISNUMBER(F19),ISNUMBER(G19)),(F19-G19)/C19,"")</x:f>
      </x:c>
      <x:c r="J19" s="19" t="str">
        <x:f>IF(AND(ISNUMBER(H19),ISNUMBER(I19)),ABS(H19-I19)/MAX(ABS(H19),ABS(I19),0.000000001),"")</x:f>
      </x:c>
      <x:c r="K19" s="2" t="str">
        <x:f>IF(COUNT(C19:G19)=0,"Unused",IF(NOT(ISNUMBER(H19)),"Enter h and ±h",IF(AND(ISNUMBER(J19),J19&gt;0.05),"Slope changes &gt;5%","OK")))</x:f>
        <x:v>Unused</x:v>
      </x:c>
      <x:c r="L19" s="2" t="str">
        <x:f>'Setup'!$D$7</x:f>
        <x:v>mm</x:v>
      </x:c>
    </x:row>
    <x:row r="20" ht="23" customHeight="1">
      <x:c r="A20" s="2" t="str">
        <x:v>SRC015</x:v>
      </x:c>
      <x:c r="B20" s="2" t="str">
        <x:f>IF('Stack'!C20="","",'Stack'!C20)</x:f>
      </x:c>
      <x:c r="C20" s="12"/>
      <x:c r="D20" s="12"/>
      <x:c r="E20" s="12"/>
      <x:c r="F20" s="12"/>
      <x:c r="G20" s="12"/>
      <x:c r="H20" s="17" t="str">
        <x:f>IF(AND(ISNUMBER(C20),C20&gt;0,ISNUMBER(D20),ISNUMBER(E20)),(D20-E20)/(2*C20),"")</x:f>
      </x:c>
      <x:c r="I20" s="17" t="str">
        <x:f>IF(AND(ISNUMBER(C20),C20&gt;0,ISNUMBER(F20),ISNUMBER(G20)),(F20-G20)/C20,"")</x:f>
      </x:c>
      <x:c r="J20" s="19" t="str">
        <x:f>IF(AND(ISNUMBER(H20),ISNUMBER(I20)),ABS(H20-I20)/MAX(ABS(H20),ABS(I20),0.000000001),"")</x:f>
      </x:c>
      <x:c r="K20" s="2" t="str">
        <x:f>IF(COUNT(C20:G20)=0,"Unused",IF(NOT(ISNUMBER(H20)),"Enter h and ±h",IF(AND(ISNUMBER(J20),J20&gt;0.05),"Slope changes &gt;5%","OK")))</x:f>
        <x:v>Unused</x:v>
      </x:c>
      <x:c r="L20" s="2" t="str">
        <x:f>'Setup'!$D$7</x:f>
        <x:v>mm</x:v>
      </x:c>
    </x:row>
    <x:row r="21" ht="23" customHeight="1">
      <x:c r="A21" s="2" t="str">
        <x:v>SRC016</x:v>
      </x:c>
      <x:c r="B21" s="2" t="str">
        <x:f>IF('Stack'!C21="","",'Stack'!C21)</x:f>
      </x:c>
      <x:c r="C21" s="12"/>
      <x:c r="D21" s="12"/>
      <x:c r="E21" s="12"/>
      <x:c r="F21" s="12"/>
      <x:c r="G21" s="12"/>
      <x:c r="H21" s="17" t="str">
        <x:f>IF(AND(ISNUMBER(C21),C21&gt;0,ISNUMBER(D21),ISNUMBER(E21)),(D21-E21)/(2*C21),"")</x:f>
      </x:c>
      <x:c r="I21" s="17" t="str">
        <x:f>IF(AND(ISNUMBER(C21),C21&gt;0,ISNUMBER(F21),ISNUMBER(G21)),(F21-G21)/C21,"")</x:f>
      </x:c>
      <x:c r="J21" s="19" t="str">
        <x:f>IF(AND(ISNUMBER(H21),ISNUMBER(I21)),ABS(H21-I21)/MAX(ABS(H21),ABS(I21),0.000000001),"")</x:f>
      </x:c>
      <x:c r="K21" s="2" t="str">
        <x:f>IF(COUNT(C21:G21)=0,"Unused",IF(NOT(ISNUMBER(H21)),"Enter h and ±h",IF(AND(ISNUMBER(J21),J21&gt;0.05),"Slope changes &gt;5%","OK")))</x:f>
        <x:v>Unused</x:v>
      </x:c>
      <x:c r="L21" s="2" t="str">
        <x:f>'Setup'!$D$7</x:f>
        <x:v>mm</x:v>
      </x:c>
    </x:row>
    <x:row r="22" ht="23" customHeight="1">
      <x:c r="A22" s="2" t="str">
        <x:v>SRC017</x:v>
      </x:c>
      <x:c r="B22" s="2" t="str">
        <x:f>IF('Stack'!C22="","",'Stack'!C22)</x:f>
      </x:c>
      <x:c r="C22" s="12"/>
      <x:c r="D22" s="12"/>
      <x:c r="E22" s="12"/>
      <x:c r="F22" s="12"/>
      <x:c r="G22" s="12"/>
      <x:c r="H22" s="17" t="str">
        <x:f>IF(AND(ISNUMBER(C22),C22&gt;0,ISNUMBER(D22),ISNUMBER(E22)),(D22-E22)/(2*C22),"")</x:f>
      </x:c>
      <x:c r="I22" s="17" t="str">
        <x:f>IF(AND(ISNUMBER(C22),C22&gt;0,ISNUMBER(F22),ISNUMBER(G22)),(F22-G22)/C22,"")</x:f>
      </x:c>
      <x:c r="J22" s="19" t="str">
        <x:f>IF(AND(ISNUMBER(H22),ISNUMBER(I22)),ABS(H22-I22)/MAX(ABS(H22),ABS(I22),0.000000001),"")</x:f>
      </x:c>
      <x:c r="K22" s="2" t="str">
        <x:f>IF(COUNT(C22:G22)=0,"Unused",IF(NOT(ISNUMBER(H22)),"Enter h and ±h",IF(AND(ISNUMBER(J22),J22&gt;0.05),"Slope changes &gt;5%","OK")))</x:f>
        <x:v>Unused</x:v>
      </x:c>
      <x:c r="L22" s="2" t="str">
        <x:f>'Setup'!$D$7</x:f>
        <x:v>mm</x:v>
      </x:c>
    </x:row>
    <x:row r="23" ht="23" customHeight="1">
      <x:c r="A23" s="2" t="str">
        <x:v>SRC018</x:v>
      </x:c>
      <x:c r="B23" s="2" t="str">
        <x:f>IF('Stack'!C23="","",'Stack'!C23)</x:f>
      </x:c>
      <x:c r="C23" s="12"/>
      <x:c r="D23" s="12"/>
      <x:c r="E23" s="12"/>
      <x:c r="F23" s="12"/>
      <x:c r="G23" s="12"/>
      <x:c r="H23" s="17" t="str">
        <x:f>IF(AND(ISNUMBER(C23),C23&gt;0,ISNUMBER(D23),ISNUMBER(E23)),(D23-E23)/(2*C23),"")</x:f>
      </x:c>
      <x:c r="I23" s="17" t="str">
        <x:f>IF(AND(ISNUMBER(C23),C23&gt;0,ISNUMBER(F23),ISNUMBER(G23)),(F23-G23)/C23,"")</x:f>
      </x:c>
      <x:c r="J23" s="19" t="str">
        <x:f>IF(AND(ISNUMBER(H23),ISNUMBER(I23)),ABS(H23-I23)/MAX(ABS(H23),ABS(I23),0.000000001),"")</x:f>
      </x:c>
      <x:c r="K23" s="2" t="str">
        <x:f>IF(COUNT(C23:G23)=0,"Unused",IF(NOT(ISNUMBER(H23)),"Enter h and ±h",IF(AND(ISNUMBER(J23),J23&gt;0.05),"Slope changes &gt;5%","OK")))</x:f>
        <x:v>Unused</x:v>
      </x:c>
      <x:c r="L23" s="2" t="str">
        <x:f>'Setup'!$D$7</x:f>
        <x:v>mm</x:v>
      </x:c>
    </x:row>
    <x:row r="24" ht="23" customHeight="1">
      <x:c r="A24" s="2" t="str">
        <x:v>SRC019</x:v>
      </x:c>
      <x:c r="B24" s="2" t="str">
        <x:f>IF('Stack'!C24="","",'Stack'!C24)</x:f>
      </x:c>
      <x:c r="C24" s="12"/>
      <x:c r="D24" s="12"/>
      <x:c r="E24" s="12"/>
      <x:c r="F24" s="12"/>
      <x:c r="G24" s="12"/>
      <x:c r="H24" s="17" t="str">
        <x:f>IF(AND(ISNUMBER(C24),C24&gt;0,ISNUMBER(D24),ISNUMBER(E24)),(D24-E24)/(2*C24),"")</x:f>
      </x:c>
      <x:c r="I24" s="17" t="str">
        <x:f>IF(AND(ISNUMBER(C24),C24&gt;0,ISNUMBER(F24),ISNUMBER(G24)),(F24-G24)/C24,"")</x:f>
      </x:c>
      <x:c r="J24" s="19" t="str">
        <x:f>IF(AND(ISNUMBER(H24),ISNUMBER(I24)),ABS(H24-I24)/MAX(ABS(H24),ABS(I24),0.000000001),"")</x:f>
      </x:c>
      <x:c r="K24" s="2" t="str">
        <x:f>IF(COUNT(C24:G24)=0,"Unused",IF(NOT(ISNUMBER(H24)),"Enter h and ±h",IF(AND(ISNUMBER(J24),J24&gt;0.05),"Slope changes &gt;5%","OK")))</x:f>
        <x:v>Unused</x:v>
      </x:c>
      <x:c r="L24" s="2" t="str">
        <x:f>'Setup'!$D$7</x:f>
        <x:v>mm</x:v>
      </x:c>
    </x:row>
    <x:row r="25" ht="23" customHeight="1">
      <x:c r="A25" s="2" t="str">
        <x:v>SRC020</x:v>
      </x:c>
      <x:c r="B25" s="2" t="str">
        <x:f>IF('Stack'!C25="","",'Stack'!C25)</x:f>
      </x:c>
      <x:c r="C25" s="12"/>
      <x:c r="D25" s="12"/>
      <x:c r="E25" s="12"/>
      <x:c r="F25" s="12"/>
      <x:c r="G25" s="12"/>
      <x:c r="H25" s="17" t="str">
        <x:f>IF(AND(ISNUMBER(C25),C25&gt;0,ISNUMBER(D25),ISNUMBER(E25)),(D25-E25)/(2*C25),"")</x:f>
      </x:c>
      <x:c r="I25" s="17" t="str">
        <x:f>IF(AND(ISNUMBER(C25),C25&gt;0,ISNUMBER(F25),ISNUMBER(G25)),(F25-G25)/C25,"")</x:f>
      </x:c>
      <x:c r="J25" s="19" t="str">
        <x:f>IF(AND(ISNUMBER(H25),ISNUMBER(I25)),ABS(H25-I25)/MAX(ABS(H25),ABS(I25),0.000000001),"")</x:f>
      </x:c>
      <x:c r="K25" s="2" t="str">
        <x:f>IF(COUNT(C25:G25)=0,"Unused",IF(NOT(ISNUMBER(H25)),"Enter h and ±h",IF(AND(ISNUMBER(J25),J25&gt;0.05),"Slope changes &gt;5%","OK")))</x:f>
        <x:v>Unused</x:v>
      </x:c>
      <x:c r="L25" s="2" t="str">
        <x:f>'Setup'!$D$7</x:f>
        <x:v>mm</x:v>
      </x:c>
    </x:row>
    <x:row r="26" ht="23" customHeight="1">
      <x:c r="A26" s="2" t="str">
        <x:v>SRC021</x:v>
      </x:c>
      <x:c r="B26" s="2" t="str">
        <x:f>IF('Stack'!C26="","",'Stack'!C26)</x:f>
      </x:c>
      <x:c r="C26" s="12"/>
      <x:c r="D26" s="12"/>
      <x:c r="E26" s="12"/>
      <x:c r="F26" s="12"/>
      <x:c r="G26" s="12"/>
      <x:c r="H26" s="17" t="str">
        <x:f>IF(AND(ISNUMBER(C26),C26&gt;0,ISNUMBER(D26),ISNUMBER(E26)),(D26-E26)/(2*C26),"")</x:f>
      </x:c>
      <x:c r="I26" s="17" t="str">
        <x:f>IF(AND(ISNUMBER(C26),C26&gt;0,ISNUMBER(F26),ISNUMBER(G26)),(F26-G26)/C26,"")</x:f>
      </x:c>
      <x:c r="J26" s="19" t="str">
        <x:f>IF(AND(ISNUMBER(H26),ISNUMBER(I26)),ABS(H26-I26)/MAX(ABS(H26),ABS(I26),0.000000001),"")</x:f>
      </x:c>
      <x:c r="K26" s="2" t="str">
        <x:f>IF(COUNT(C26:G26)=0,"Unused",IF(NOT(ISNUMBER(H26)),"Enter h and ±h",IF(AND(ISNUMBER(J26),J26&gt;0.05),"Slope changes &gt;5%","OK")))</x:f>
        <x:v>Unused</x:v>
      </x:c>
      <x:c r="L26" s="2" t="str">
        <x:f>'Setup'!$D$7</x:f>
        <x:v>mm</x:v>
      </x:c>
    </x:row>
    <x:row r="27" ht="23" customHeight="1">
      <x:c r="A27" s="2" t="str">
        <x:v>SRC022</x:v>
      </x:c>
      <x:c r="B27" s="2" t="str">
        <x:f>IF('Stack'!C27="","",'Stack'!C27)</x:f>
      </x:c>
      <x:c r="C27" s="12"/>
      <x:c r="D27" s="12"/>
      <x:c r="E27" s="12"/>
      <x:c r="F27" s="12"/>
      <x:c r="G27" s="12"/>
      <x:c r="H27" s="17" t="str">
        <x:f>IF(AND(ISNUMBER(C27),C27&gt;0,ISNUMBER(D27),ISNUMBER(E27)),(D27-E27)/(2*C27),"")</x:f>
      </x:c>
      <x:c r="I27" s="17" t="str">
        <x:f>IF(AND(ISNUMBER(C27),C27&gt;0,ISNUMBER(F27),ISNUMBER(G27)),(F27-G27)/C27,"")</x:f>
      </x:c>
      <x:c r="J27" s="19" t="str">
        <x:f>IF(AND(ISNUMBER(H27),ISNUMBER(I27)),ABS(H27-I27)/MAX(ABS(H27),ABS(I27),0.000000001),"")</x:f>
      </x:c>
      <x:c r="K27" s="2" t="str">
        <x:f>IF(COUNT(C27:G27)=0,"Unused",IF(NOT(ISNUMBER(H27)),"Enter h and ±h",IF(AND(ISNUMBER(J27),J27&gt;0.05),"Slope changes &gt;5%","OK")))</x:f>
        <x:v>Unused</x:v>
      </x:c>
      <x:c r="L27" s="2" t="str">
        <x:f>'Setup'!$D$7</x:f>
        <x:v>mm</x:v>
      </x:c>
    </x:row>
    <x:row r="28" ht="23" customHeight="1">
      <x:c r="A28" s="2" t="str">
        <x:v>SRC023</x:v>
      </x:c>
      <x:c r="B28" s="2" t="str">
        <x:f>IF('Stack'!C28="","",'Stack'!C28)</x:f>
      </x:c>
      <x:c r="C28" s="12"/>
      <x:c r="D28" s="12"/>
      <x:c r="E28" s="12"/>
      <x:c r="F28" s="12"/>
      <x:c r="G28" s="12"/>
      <x:c r="H28" s="17" t="str">
        <x:f>IF(AND(ISNUMBER(C28),C28&gt;0,ISNUMBER(D28),ISNUMBER(E28)),(D28-E28)/(2*C28),"")</x:f>
      </x:c>
      <x:c r="I28" s="17" t="str">
        <x:f>IF(AND(ISNUMBER(C28),C28&gt;0,ISNUMBER(F28),ISNUMBER(G28)),(F28-G28)/C28,"")</x:f>
      </x:c>
      <x:c r="J28" s="19" t="str">
        <x:f>IF(AND(ISNUMBER(H28),ISNUMBER(I28)),ABS(H28-I28)/MAX(ABS(H28),ABS(I28),0.000000001),"")</x:f>
      </x:c>
      <x:c r="K28" s="2" t="str">
        <x:f>IF(COUNT(C28:G28)=0,"Unused",IF(NOT(ISNUMBER(H28)),"Enter h and ±h",IF(AND(ISNUMBER(J28),J28&gt;0.05),"Slope changes &gt;5%","OK")))</x:f>
        <x:v>Unused</x:v>
      </x:c>
      <x:c r="L28" s="2" t="str">
        <x:f>'Setup'!$D$7</x:f>
        <x:v>mm</x:v>
      </x:c>
    </x:row>
    <x:row r="29" ht="23" customHeight="1">
      <x:c r="A29" s="2" t="str">
        <x:v>SRC024</x:v>
      </x:c>
      <x:c r="B29" s="2" t="str">
        <x:f>IF('Stack'!C29="","",'Stack'!C29)</x:f>
      </x:c>
      <x:c r="C29" s="12"/>
      <x:c r="D29" s="12"/>
      <x:c r="E29" s="12"/>
      <x:c r="F29" s="12"/>
      <x:c r="G29" s="12"/>
      <x:c r="H29" s="17" t="str">
        <x:f>IF(AND(ISNUMBER(C29),C29&gt;0,ISNUMBER(D29),ISNUMBER(E29)),(D29-E29)/(2*C29),"")</x:f>
      </x:c>
      <x:c r="I29" s="17" t="str">
        <x:f>IF(AND(ISNUMBER(C29),C29&gt;0,ISNUMBER(F29),ISNUMBER(G29)),(F29-G29)/C29,"")</x:f>
      </x:c>
      <x:c r="J29" s="19" t="str">
        <x:f>IF(AND(ISNUMBER(H29),ISNUMBER(I29)),ABS(H29-I29)/MAX(ABS(H29),ABS(I29),0.000000001),"")</x:f>
      </x:c>
      <x:c r="K29" s="2" t="str">
        <x:f>IF(COUNT(C29:G29)=0,"Unused",IF(NOT(ISNUMBER(H29)),"Enter h and ±h",IF(AND(ISNUMBER(J29),J29&gt;0.05),"Slope changes &gt;5%","OK")))</x:f>
        <x:v>Unused</x:v>
      </x:c>
      <x:c r="L29" s="2" t="str">
        <x:f>'Setup'!$D$7</x:f>
        <x:v>mm</x:v>
      </x:c>
    </x:row>
    <x:row r="30" ht="23" customHeight="1">
      <x:c r="A30" s="2" t="str">
        <x:v>SRC025</x:v>
      </x:c>
      <x:c r="B30" s="2" t="str">
        <x:f>IF('Stack'!C30="","",'Stack'!C30)</x:f>
      </x:c>
      <x:c r="C30" s="12"/>
      <x:c r="D30" s="12"/>
      <x:c r="E30" s="12"/>
      <x:c r="F30" s="12"/>
      <x:c r="G30" s="12"/>
      <x:c r="H30" s="17" t="str">
        <x:f>IF(AND(ISNUMBER(C30),C30&gt;0,ISNUMBER(D30),ISNUMBER(E30)),(D30-E30)/(2*C30),"")</x:f>
      </x:c>
      <x:c r="I30" s="17" t="str">
        <x:f>IF(AND(ISNUMBER(C30),C30&gt;0,ISNUMBER(F30),ISNUMBER(G30)),(F30-G30)/C30,"")</x:f>
      </x:c>
      <x:c r="J30" s="19" t="str">
        <x:f>IF(AND(ISNUMBER(H30),ISNUMBER(I30)),ABS(H30-I30)/MAX(ABS(H30),ABS(I30),0.000000001),"")</x:f>
      </x:c>
      <x:c r="K30" s="2" t="str">
        <x:f>IF(COUNT(C30:G30)=0,"Unused",IF(NOT(ISNUMBER(H30)),"Enter h and ±h",IF(AND(ISNUMBER(J30),J30&gt;0.05),"Slope changes &gt;5%","OK")))</x:f>
        <x:v>Unused</x:v>
      </x:c>
      <x:c r="L30" s="2" t="str">
        <x:f>'Setup'!$D$7</x:f>
        <x:v>mm</x:v>
      </x:c>
    </x:row>
    <x:row r="31" ht="23" customHeight="1">
      <x:c r="A31" s="2" t="str">
        <x:v>SRC026</x:v>
      </x:c>
      <x:c r="B31" s="2" t="str">
        <x:f>IF('Stack'!C31="","",'Stack'!C31)</x:f>
      </x:c>
      <x:c r="C31" s="12"/>
      <x:c r="D31" s="12"/>
      <x:c r="E31" s="12"/>
      <x:c r="F31" s="12"/>
      <x:c r="G31" s="12"/>
      <x:c r="H31" s="17" t="str">
        <x:f>IF(AND(ISNUMBER(C31),C31&gt;0,ISNUMBER(D31),ISNUMBER(E31)),(D31-E31)/(2*C31),"")</x:f>
      </x:c>
      <x:c r="I31" s="17" t="str">
        <x:f>IF(AND(ISNUMBER(C31),C31&gt;0,ISNUMBER(F31),ISNUMBER(G31)),(F31-G31)/C31,"")</x:f>
      </x:c>
      <x:c r="J31" s="19" t="str">
        <x:f>IF(AND(ISNUMBER(H31),ISNUMBER(I31)),ABS(H31-I31)/MAX(ABS(H31),ABS(I31),0.000000001),"")</x:f>
      </x:c>
      <x:c r="K31" s="2" t="str">
        <x:f>IF(COUNT(C31:G31)=0,"Unused",IF(NOT(ISNUMBER(H31)),"Enter h and ±h",IF(AND(ISNUMBER(J31),J31&gt;0.05),"Slope changes &gt;5%","OK")))</x:f>
        <x:v>Unused</x:v>
      </x:c>
      <x:c r="L31" s="2" t="str">
        <x:f>'Setup'!$D$7</x:f>
        <x:v>mm</x:v>
      </x:c>
    </x:row>
    <x:row r="32" ht="23" customHeight="1">
      <x:c r="A32" s="2" t="str">
        <x:v>SRC027</x:v>
      </x:c>
      <x:c r="B32" s="2" t="str">
        <x:f>IF('Stack'!C32="","",'Stack'!C32)</x:f>
      </x:c>
      <x:c r="C32" s="12"/>
      <x:c r="D32" s="12"/>
      <x:c r="E32" s="12"/>
      <x:c r="F32" s="12"/>
      <x:c r="G32" s="12"/>
      <x:c r="H32" s="17" t="str">
        <x:f>IF(AND(ISNUMBER(C32),C32&gt;0,ISNUMBER(D32),ISNUMBER(E32)),(D32-E32)/(2*C32),"")</x:f>
      </x:c>
      <x:c r="I32" s="17" t="str">
        <x:f>IF(AND(ISNUMBER(C32),C32&gt;0,ISNUMBER(F32),ISNUMBER(G32)),(F32-G32)/C32,"")</x:f>
      </x:c>
      <x:c r="J32" s="19" t="str">
        <x:f>IF(AND(ISNUMBER(H32),ISNUMBER(I32)),ABS(H32-I32)/MAX(ABS(H32),ABS(I32),0.000000001),"")</x:f>
      </x:c>
      <x:c r="K32" s="2" t="str">
        <x:f>IF(COUNT(C32:G32)=0,"Unused",IF(NOT(ISNUMBER(H32)),"Enter h and ±h",IF(AND(ISNUMBER(J32),J32&gt;0.05),"Slope changes &gt;5%","OK")))</x:f>
        <x:v>Unused</x:v>
      </x:c>
      <x:c r="L32" s="2" t="str">
        <x:f>'Setup'!$D$7</x:f>
        <x:v>mm</x:v>
      </x:c>
    </x:row>
    <x:row r="33" ht="23" customHeight="1">
      <x:c r="A33" s="2" t="str">
        <x:v>SRC028</x:v>
      </x:c>
      <x:c r="B33" s="2" t="str">
        <x:f>IF('Stack'!C33="","",'Stack'!C33)</x:f>
      </x:c>
      <x:c r="C33" s="12"/>
      <x:c r="D33" s="12"/>
      <x:c r="E33" s="12"/>
      <x:c r="F33" s="12"/>
      <x:c r="G33" s="12"/>
      <x:c r="H33" s="17" t="str">
        <x:f>IF(AND(ISNUMBER(C33),C33&gt;0,ISNUMBER(D33),ISNUMBER(E33)),(D33-E33)/(2*C33),"")</x:f>
      </x:c>
      <x:c r="I33" s="17" t="str">
        <x:f>IF(AND(ISNUMBER(C33),C33&gt;0,ISNUMBER(F33),ISNUMBER(G33)),(F33-G33)/C33,"")</x:f>
      </x:c>
      <x:c r="J33" s="19" t="str">
        <x:f>IF(AND(ISNUMBER(H33),ISNUMBER(I33)),ABS(H33-I33)/MAX(ABS(H33),ABS(I33),0.000000001),"")</x:f>
      </x:c>
      <x:c r="K33" s="2" t="str">
        <x:f>IF(COUNT(C33:G33)=0,"Unused",IF(NOT(ISNUMBER(H33)),"Enter h and ±h",IF(AND(ISNUMBER(J33),J33&gt;0.05),"Slope changes &gt;5%","OK")))</x:f>
        <x:v>Unused</x:v>
      </x:c>
      <x:c r="L33" s="2" t="str">
        <x:f>'Setup'!$D$7</x:f>
        <x:v>mm</x:v>
      </x:c>
    </x:row>
    <x:row r="34" ht="23" customHeight="1">
      <x:c r="A34" s="2" t="str">
        <x:v>SRC029</x:v>
      </x:c>
      <x:c r="B34" s="2" t="str">
        <x:f>IF('Stack'!C34="","",'Stack'!C34)</x:f>
      </x:c>
      <x:c r="C34" s="12"/>
      <x:c r="D34" s="12"/>
      <x:c r="E34" s="12"/>
      <x:c r="F34" s="12"/>
      <x:c r="G34" s="12"/>
      <x:c r="H34" s="17" t="str">
        <x:f>IF(AND(ISNUMBER(C34),C34&gt;0,ISNUMBER(D34),ISNUMBER(E34)),(D34-E34)/(2*C34),"")</x:f>
      </x:c>
      <x:c r="I34" s="17" t="str">
        <x:f>IF(AND(ISNUMBER(C34),C34&gt;0,ISNUMBER(F34),ISNUMBER(G34)),(F34-G34)/C34,"")</x:f>
      </x:c>
      <x:c r="J34" s="19" t="str">
        <x:f>IF(AND(ISNUMBER(H34),ISNUMBER(I34)),ABS(H34-I34)/MAX(ABS(H34),ABS(I34),0.000000001),"")</x:f>
      </x:c>
      <x:c r="K34" s="2" t="str">
        <x:f>IF(COUNT(C34:G34)=0,"Unused",IF(NOT(ISNUMBER(H34)),"Enter h and ±h",IF(AND(ISNUMBER(J34),J34&gt;0.05),"Slope changes &gt;5%","OK")))</x:f>
        <x:v>Unused</x:v>
      </x:c>
      <x:c r="L34" s="2" t="str">
        <x:f>'Setup'!$D$7</x:f>
        <x:v>mm</x:v>
      </x:c>
    </x:row>
    <x:row r="35" ht="23" customHeight="1">
      <x:c r="A35" s="2" t="str">
        <x:v>SRC030</x:v>
      </x:c>
      <x:c r="B35" s="2" t="str">
        <x:f>IF('Stack'!C35="","",'Stack'!C35)</x:f>
      </x:c>
      <x:c r="C35" s="12"/>
      <x:c r="D35" s="12"/>
      <x:c r="E35" s="12"/>
      <x:c r="F35" s="12"/>
      <x:c r="G35" s="12"/>
      <x:c r="H35" s="17" t="str">
        <x:f>IF(AND(ISNUMBER(C35),C35&gt;0,ISNUMBER(D35),ISNUMBER(E35)),(D35-E35)/(2*C35),"")</x:f>
      </x:c>
      <x:c r="I35" s="17" t="str">
        <x:f>IF(AND(ISNUMBER(C35),C35&gt;0,ISNUMBER(F35),ISNUMBER(G35)),(F35-G35)/C35,"")</x:f>
      </x:c>
      <x:c r="J35" s="19" t="str">
        <x:f>IF(AND(ISNUMBER(H35),ISNUMBER(I35)),ABS(H35-I35)/MAX(ABS(H35),ABS(I35),0.000000001),"")</x:f>
      </x:c>
      <x:c r="K35" s="2" t="str">
        <x:f>IF(COUNT(C35:G35)=0,"Unused",IF(NOT(ISNUMBER(H35)),"Enter h and ±h",IF(AND(ISNUMBER(J35),J35&gt;0.05),"Slope changes &gt;5%","OK")))</x:f>
        <x:v>Unused</x:v>
      </x:c>
      <x:c r="L35" s="2" t="str">
        <x:f>'Setup'!$D$7</x:f>
        <x:v>mm</x:v>
      </x:c>
    </x:row>
    <x:row r="36" ht="23" customHeight="1">
      <x:c r="A36" s="2" t="str">
        <x:v>SRC031</x:v>
      </x:c>
      <x:c r="B36" s="2" t="str">
        <x:f>IF('Stack'!C36="","",'Stack'!C36)</x:f>
      </x:c>
      <x:c r="C36" s="12"/>
      <x:c r="D36" s="12"/>
      <x:c r="E36" s="12"/>
      <x:c r="F36" s="12"/>
      <x:c r="G36" s="12"/>
      <x:c r="H36" s="17" t="str">
        <x:f>IF(AND(ISNUMBER(C36),C36&gt;0,ISNUMBER(D36),ISNUMBER(E36)),(D36-E36)/(2*C36),"")</x:f>
      </x:c>
      <x:c r="I36" s="17" t="str">
        <x:f>IF(AND(ISNUMBER(C36),C36&gt;0,ISNUMBER(F36),ISNUMBER(G36)),(F36-G36)/C36,"")</x:f>
      </x:c>
      <x:c r="J36" s="19" t="str">
        <x:f>IF(AND(ISNUMBER(H36),ISNUMBER(I36)),ABS(H36-I36)/MAX(ABS(H36),ABS(I36),0.000000001),"")</x:f>
      </x:c>
      <x:c r="K36" s="2" t="str">
        <x:f>IF(COUNT(C36:G36)=0,"Unused",IF(NOT(ISNUMBER(H36)),"Enter h and ±h",IF(AND(ISNUMBER(J36),J36&gt;0.05),"Slope changes &gt;5%","OK")))</x:f>
        <x:v>Unused</x:v>
      </x:c>
      <x:c r="L36" s="2" t="str">
        <x:f>'Setup'!$D$7</x:f>
        <x:v>mm</x:v>
      </x:c>
    </x:row>
    <x:row r="37" ht="23" customHeight="1">
      <x:c r="A37" s="2" t="str">
        <x:v>SRC032</x:v>
      </x:c>
      <x:c r="B37" s="2" t="str">
        <x:f>IF('Stack'!C37="","",'Stack'!C37)</x:f>
      </x:c>
      <x:c r="C37" s="12"/>
      <x:c r="D37" s="12"/>
      <x:c r="E37" s="12"/>
      <x:c r="F37" s="12"/>
      <x:c r="G37" s="12"/>
      <x:c r="H37" s="17" t="str">
        <x:f>IF(AND(ISNUMBER(C37),C37&gt;0,ISNUMBER(D37),ISNUMBER(E37)),(D37-E37)/(2*C37),"")</x:f>
      </x:c>
      <x:c r="I37" s="17" t="str">
        <x:f>IF(AND(ISNUMBER(C37),C37&gt;0,ISNUMBER(F37),ISNUMBER(G37)),(F37-G37)/C37,"")</x:f>
      </x:c>
      <x:c r="J37" s="19" t="str">
        <x:f>IF(AND(ISNUMBER(H37),ISNUMBER(I37)),ABS(H37-I37)/MAX(ABS(H37),ABS(I37),0.000000001),"")</x:f>
      </x:c>
      <x:c r="K37" s="2" t="str">
        <x:f>IF(COUNT(C37:G37)=0,"Unused",IF(NOT(ISNUMBER(H37)),"Enter h and ±h",IF(AND(ISNUMBER(J37),J37&gt;0.05),"Slope changes &gt;5%","OK")))</x:f>
        <x:v>Unused</x:v>
      </x:c>
      <x:c r="L37" s="2" t="str">
        <x:f>'Setup'!$D$7</x:f>
        <x:v>mm</x:v>
      </x:c>
    </x:row>
    <x:row r="38" ht="23" customHeight="1">
      <x:c r="A38" s="2" t="str">
        <x:v>SRC033</x:v>
      </x:c>
      <x:c r="B38" s="2" t="str">
        <x:f>IF('Stack'!C38="","",'Stack'!C38)</x:f>
      </x:c>
      <x:c r="C38" s="12"/>
      <x:c r="D38" s="12"/>
      <x:c r="E38" s="12"/>
      <x:c r="F38" s="12"/>
      <x:c r="G38" s="12"/>
      <x:c r="H38" s="17" t="str">
        <x:f>IF(AND(ISNUMBER(C38),C38&gt;0,ISNUMBER(D38),ISNUMBER(E38)),(D38-E38)/(2*C38),"")</x:f>
      </x:c>
      <x:c r="I38" s="17" t="str">
        <x:f>IF(AND(ISNUMBER(C38),C38&gt;0,ISNUMBER(F38),ISNUMBER(G38)),(F38-G38)/C38,"")</x:f>
      </x:c>
      <x:c r="J38" s="19" t="str">
        <x:f>IF(AND(ISNUMBER(H38),ISNUMBER(I38)),ABS(H38-I38)/MAX(ABS(H38),ABS(I38),0.000000001),"")</x:f>
      </x:c>
      <x:c r="K38" s="2" t="str">
        <x:f>IF(COUNT(C38:G38)=0,"Unused",IF(NOT(ISNUMBER(H38)),"Enter h and ±h",IF(AND(ISNUMBER(J38),J38&gt;0.05),"Slope changes &gt;5%","OK")))</x:f>
        <x:v>Unused</x:v>
      </x:c>
      <x:c r="L38" s="2" t="str">
        <x:f>'Setup'!$D$7</x:f>
        <x:v>mm</x:v>
      </x:c>
    </x:row>
    <x:row r="39" ht="23" customHeight="1">
      <x:c r="A39" s="2" t="str">
        <x:v>SRC034</x:v>
      </x:c>
      <x:c r="B39" s="2" t="str">
        <x:f>IF('Stack'!C39="","",'Stack'!C39)</x:f>
      </x:c>
      <x:c r="C39" s="12"/>
      <x:c r="D39" s="12"/>
      <x:c r="E39" s="12"/>
      <x:c r="F39" s="12"/>
      <x:c r="G39" s="12"/>
      <x:c r="H39" s="17" t="str">
        <x:f>IF(AND(ISNUMBER(C39),C39&gt;0,ISNUMBER(D39),ISNUMBER(E39)),(D39-E39)/(2*C39),"")</x:f>
      </x:c>
      <x:c r="I39" s="17" t="str">
        <x:f>IF(AND(ISNUMBER(C39),C39&gt;0,ISNUMBER(F39),ISNUMBER(G39)),(F39-G39)/C39,"")</x:f>
      </x:c>
      <x:c r="J39" s="19" t="str">
        <x:f>IF(AND(ISNUMBER(H39),ISNUMBER(I39)),ABS(H39-I39)/MAX(ABS(H39),ABS(I39),0.000000001),"")</x:f>
      </x:c>
      <x:c r="K39" s="2" t="str">
        <x:f>IF(COUNT(C39:G39)=0,"Unused",IF(NOT(ISNUMBER(H39)),"Enter h and ±h",IF(AND(ISNUMBER(J39),J39&gt;0.05),"Slope changes &gt;5%","OK")))</x:f>
        <x:v>Unused</x:v>
      </x:c>
      <x:c r="L39" s="2" t="str">
        <x:f>'Setup'!$D$7</x:f>
        <x:v>mm</x:v>
      </x:c>
    </x:row>
    <x:row r="40" ht="23" customHeight="1">
      <x:c r="A40" s="2" t="str">
        <x:v>SRC035</x:v>
      </x:c>
      <x:c r="B40" s="2" t="str">
        <x:f>IF('Stack'!C40="","",'Stack'!C40)</x:f>
      </x:c>
      <x:c r="C40" s="12"/>
      <x:c r="D40" s="12"/>
      <x:c r="E40" s="12"/>
      <x:c r="F40" s="12"/>
      <x:c r="G40" s="12"/>
      <x:c r="H40" s="17" t="str">
        <x:f>IF(AND(ISNUMBER(C40),C40&gt;0,ISNUMBER(D40),ISNUMBER(E40)),(D40-E40)/(2*C40),"")</x:f>
      </x:c>
      <x:c r="I40" s="17" t="str">
        <x:f>IF(AND(ISNUMBER(C40),C40&gt;0,ISNUMBER(F40),ISNUMBER(G40)),(F40-G40)/C40,"")</x:f>
      </x:c>
      <x:c r="J40" s="19" t="str">
        <x:f>IF(AND(ISNUMBER(H40),ISNUMBER(I40)),ABS(H40-I40)/MAX(ABS(H40),ABS(I40),0.000000001),"")</x:f>
      </x:c>
      <x:c r="K40" s="2" t="str">
        <x:f>IF(COUNT(C40:G40)=0,"Unused",IF(NOT(ISNUMBER(H40)),"Enter h and ±h",IF(AND(ISNUMBER(J40),J40&gt;0.05),"Slope changes &gt;5%","OK")))</x:f>
        <x:v>Unused</x:v>
      </x:c>
      <x:c r="L40" s="2" t="str">
        <x:f>'Setup'!$D$7</x:f>
        <x:v>mm</x:v>
      </x:c>
    </x:row>
    <x:row r="41" ht="23" customHeight="1">
      <x:c r="A41" s="2" t="str">
        <x:v>SRC036</x:v>
      </x:c>
      <x:c r="B41" s="2" t="str">
        <x:f>IF('Stack'!C41="","",'Stack'!C41)</x:f>
      </x:c>
      <x:c r="C41" s="12"/>
      <x:c r="D41" s="12"/>
      <x:c r="E41" s="12"/>
      <x:c r="F41" s="12"/>
      <x:c r="G41" s="12"/>
      <x:c r="H41" s="17" t="str">
        <x:f>IF(AND(ISNUMBER(C41),C41&gt;0,ISNUMBER(D41),ISNUMBER(E41)),(D41-E41)/(2*C41),"")</x:f>
      </x:c>
      <x:c r="I41" s="17" t="str">
        <x:f>IF(AND(ISNUMBER(C41),C41&gt;0,ISNUMBER(F41),ISNUMBER(G41)),(F41-G41)/C41,"")</x:f>
      </x:c>
      <x:c r="J41" s="19" t="str">
        <x:f>IF(AND(ISNUMBER(H41),ISNUMBER(I41)),ABS(H41-I41)/MAX(ABS(H41),ABS(I41),0.000000001),"")</x:f>
      </x:c>
      <x:c r="K41" s="2" t="str">
        <x:f>IF(COUNT(C41:G41)=0,"Unused",IF(NOT(ISNUMBER(H41)),"Enter h and ±h",IF(AND(ISNUMBER(J41),J41&gt;0.05),"Slope changes &gt;5%","OK")))</x:f>
        <x:v>Unused</x:v>
      </x:c>
      <x:c r="L41" s="2" t="str">
        <x:f>'Setup'!$D$7</x:f>
        <x:v>mm</x:v>
      </x:c>
    </x:row>
    <x:row r="42" ht="23" customHeight="1">
      <x:c r="A42" s="2" t="str">
        <x:v>SRC037</x:v>
      </x:c>
      <x:c r="B42" s="2" t="str">
        <x:f>IF('Stack'!C42="","",'Stack'!C42)</x:f>
      </x:c>
      <x:c r="C42" s="12"/>
      <x:c r="D42" s="12"/>
      <x:c r="E42" s="12"/>
      <x:c r="F42" s="12"/>
      <x:c r="G42" s="12"/>
      <x:c r="H42" s="17" t="str">
        <x:f>IF(AND(ISNUMBER(C42),C42&gt;0,ISNUMBER(D42),ISNUMBER(E42)),(D42-E42)/(2*C42),"")</x:f>
      </x:c>
      <x:c r="I42" s="17" t="str">
        <x:f>IF(AND(ISNUMBER(C42),C42&gt;0,ISNUMBER(F42),ISNUMBER(G42)),(F42-G42)/C42,"")</x:f>
      </x:c>
      <x:c r="J42" s="19" t="str">
        <x:f>IF(AND(ISNUMBER(H42),ISNUMBER(I42)),ABS(H42-I42)/MAX(ABS(H42),ABS(I42),0.000000001),"")</x:f>
      </x:c>
      <x:c r="K42" s="2" t="str">
        <x:f>IF(COUNT(C42:G42)=0,"Unused",IF(NOT(ISNUMBER(H42)),"Enter h and ±h",IF(AND(ISNUMBER(J42),J42&gt;0.05),"Slope changes &gt;5%","OK")))</x:f>
        <x:v>Unused</x:v>
      </x:c>
      <x:c r="L42" s="2" t="str">
        <x:f>'Setup'!$D$7</x:f>
        <x:v>mm</x:v>
      </x:c>
    </x:row>
    <x:row r="43" ht="23" customHeight="1">
      <x:c r="A43" s="2" t="str">
        <x:v>SRC038</x:v>
      </x:c>
      <x:c r="B43" s="2" t="str">
        <x:f>IF('Stack'!C43="","",'Stack'!C43)</x:f>
      </x:c>
      <x:c r="C43" s="12"/>
      <x:c r="D43" s="12"/>
      <x:c r="E43" s="12"/>
      <x:c r="F43" s="12"/>
      <x:c r="G43" s="12"/>
      <x:c r="H43" s="17" t="str">
        <x:f>IF(AND(ISNUMBER(C43),C43&gt;0,ISNUMBER(D43),ISNUMBER(E43)),(D43-E43)/(2*C43),"")</x:f>
      </x:c>
      <x:c r="I43" s="17" t="str">
        <x:f>IF(AND(ISNUMBER(C43),C43&gt;0,ISNUMBER(F43),ISNUMBER(G43)),(F43-G43)/C43,"")</x:f>
      </x:c>
      <x:c r="J43" s="19" t="str">
        <x:f>IF(AND(ISNUMBER(H43),ISNUMBER(I43)),ABS(H43-I43)/MAX(ABS(H43),ABS(I43),0.000000001),"")</x:f>
      </x:c>
      <x:c r="K43" s="2" t="str">
        <x:f>IF(COUNT(C43:G43)=0,"Unused",IF(NOT(ISNUMBER(H43)),"Enter h and ±h",IF(AND(ISNUMBER(J43),J43&gt;0.05),"Slope changes &gt;5%","OK")))</x:f>
        <x:v>Unused</x:v>
      </x:c>
      <x:c r="L43" s="2" t="str">
        <x:f>'Setup'!$D$7</x:f>
        <x:v>mm</x:v>
      </x:c>
    </x:row>
    <x:row r="44" ht="23" customHeight="1">
      <x:c r="A44" s="2" t="str">
        <x:v>SRC039</x:v>
      </x:c>
      <x:c r="B44" s="2" t="str">
        <x:f>IF('Stack'!C44="","",'Stack'!C44)</x:f>
      </x:c>
      <x:c r="C44" s="12"/>
      <x:c r="D44" s="12"/>
      <x:c r="E44" s="12"/>
      <x:c r="F44" s="12"/>
      <x:c r="G44" s="12"/>
      <x:c r="H44" s="17" t="str">
        <x:f>IF(AND(ISNUMBER(C44),C44&gt;0,ISNUMBER(D44),ISNUMBER(E44)),(D44-E44)/(2*C44),"")</x:f>
      </x:c>
      <x:c r="I44" s="17" t="str">
        <x:f>IF(AND(ISNUMBER(C44),C44&gt;0,ISNUMBER(F44),ISNUMBER(G44)),(F44-G44)/C44,"")</x:f>
      </x:c>
      <x:c r="J44" s="19" t="str">
        <x:f>IF(AND(ISNUMBER(H44),ISNUMBER(I44)),ABS(H44-I44)/MAX(ABS(H44),ABS(I44),0.000000001),"")</x:f>
      </x:c>
      <x:c r="K44" s="2" t="str">
        <x:f>IF(COUNT(C44:G44)=0,"Unused",IF(NOT(ISNUMBER(H44)),"Enter h and ±h",IF(AND(ISNUMBER(J44),J44&gt;0.05),"Slope changes &gt;5%","OK")))</x:f>
        <x:v>Unused</x:v>
      </x:c>
      <x:c r="L44" s="2" t="str">
        <x:f>'Setup'!$D$7</x:f>
        <x:v>mm</x:v>
      </x:c>
    </x:row>
    <x:row r="45" ht="23" customHeight="1">
      <x:c r="A45" s="2" t="str">
        <x:v>SRC040</x:v>
      </x:c>
      <x:c r="B45" s="2" t="str">
        <x:f>IF('Stack'!C45="","",'Stack'!C45)</x:f>
      </x:c>
      <x:c r="C45" s="12"/>
      <x:c r="D45" s="12"/>
      <x:c r="E45" s="12"/>
      <x:c r="F45" s="12"/>
      <x:c r="G45" s="12"/>
      <x:c r="H45" s="17" t="str">
        <x:f>IF(AND(ISNUMBER(C45),C45&gt;0,ISNUMBER(D45),ISNUMBER(E45)),(D45-E45)/(2*C45),"")</x:f>
      </x:c>
      <x:c r="I45" s="17" t="str">
        <x:f>IF(AND(ISNUMBER(C45),C45&gt;0,ISNUMBER(F45),ISNUMBER(G45)),(F45-G45)/C45,"")</x:f>
      </x:c>
      <x:c r="J45" s="19" t="str">
        <x:f>IF(AND(ISNUMBER(H45),ISNUMBER(I45)),ABS(H45-I45)/MAX(ABS(H45),ABS(I45),0.000000001),"")</x:f>
      </x:c>
      <x:c r="K45" s="2" t="str">
        <x:f>IF(COUNT(C45:G45)=0,"Unused",IF(NOT(ISNUMBER(H45)),"Enter h and ±h",IF(AND(ISNUMBER(J45),J45&gt;0.05),"Slope changes &gt;5%","OK")))</x:f>
        <x:v>Unused</x:v>
      </x:c>
      <x:c r="L45" s="2" t="str">
        <x:f>'Setup'!$D$7</x:f>
        <x:v>mm</x:v>
      </x:c>
    </x:row>
    <x:row r="46" ht="23" customHeight="1">
      <x:c r="A46" s="2" t="str">
        <x:v>SRC041</x:v>
      </x:c>
      <x:c r="B46" s="2" t="str">
        <x:f>IF('Stack'!C46="","",'Stack'!C46)</x:f>
      </x:c>
      <x:c r="C46" s="12"/>
      <x:c r="D46" s="12"/>
      <x:c r="E46" s="12"/>
      <x:c r="F46" s="12"/>
      <x:c r="G46" s="12"/>
      <x:c r="H46" s="17" t="str">
        <x:f>IF(AND(ISNUMBER(C46),C46&gt;0,ISNUMBER(D46),ISNUMBER(E46)),(D46-E46)/(2*C46),"")</x:f>
      </x:c>
      <x:c r="I46" s="17" t="str">
        <x:f>IF(AND(ISNUMBER(C46),C46&gt;0,ISNUMBER(F46),ISNUMBER(G46)),(F46-G46)/C46,"")</x:f>
      </x:c>
      <x:c r="J46" s="19" t="str">
        <x:f>IF(AND(ISNUMBER(H46),ISNUMBER(I46)),ABS(H46-I46)/MAX(ABS(H46),ABS(I46),0.000000001),"")</x:f>
      </x:c>
      <x:c r="K46" s="2" t="str">
        <x:f>IF(COUNT(C46:G46)=0,"Unused",IF(NOT(ISNUMBER(H46)),"Enter h and ±h",IF(AND(ISNUMBER(J46),J46&gt;0.05),"Slope changes &gt;5%","OK")))</x:f>
        <x:v>Unused</x:v>
      </x:c>
      <x:c r="L46" s="2" t="str">
        <x:f>'Setup'!$D$7</x:f>
        <x:v>mm</x:v>
      </x:c>
    </x:row>
    <x:row r="47" ht="23" customHeight="1">
      <x:c r="A47" s="2" t="str">
        <x:v>SRC042</x:v>
      </x:c>
      <x:c r="B47" s="2" t="str">
        <x:f>IF('Stack'!C47="","",'Stack'!C47)</x:f>
      </x:c>
      <x:c r="C47" s="12"/>
      <x:c r="D47" s="12"/>
      <x:c r="E47" s="12"/>
      <x:c r="F47" s="12"/>
      <x:c r="G47" s="12"/>
      <x:c r="H47" s="17" t="str">
        <x:f>IF(AND(ISNUMBER(C47),C47&gt;0,ISNUMBER(D47),ISNUMBER(E47)),(D47-E47)/(2*C47),"")</x:f>
      </x:c>
      <x:c r="I47" s="17" t="str">
        <x:f>IF(AND(ISNUMBER(C47),C47&gt;0,ISNUMBER(F47),ISNUMBER(G47)),(F47-G47)/C47,"")</x:f>
      </x:c>
      <x:c r="J47" s="19" t="str">
        <x:f>IF(AND(ISNUMBER(H47),ISNUMBER(I47)),ABS(H47-I47)/MAX(ABS(H47),ABS(I47),0.000000001),"")</x:f>
      </x:c>
      <x:c r="K47" s="2" t="str">
        <x:f>IF(COUNT(C47:G47)=0,"Unused",IF(NOT(ISNUMBER(H47)),"Enter h and ±h",IF(AND(ISNUMBER(J47),J47&gt;0.05),"Slope changes &gt;5%","OK")))</x:f>
        <x:v>Unused</x:v>
      </x:c>
      <x:c r="L47" s="2" t="str">
        <x:f>'Setup'!$D$7</x:f>
        <x:v>mm</x:v>
      </x:c>
    </x:row>
    <x:row r="48" ht="23" customHeight="1">
      <x:c r="A48" s="2" t="str">
        <x:v>SRC043</x:v>
      </x:c>
      <x:c r="B48" s="2" t="str">
        <x:f>IF('Stack'!C48="","",'Stack'!C48)</x:f>
      </x:c>
      <x:c r="C48" s="12"/>
      <x:c r="D48" s="12"/>
      <x:c r="E48" s="12"/>
      <x:c r="F48" s="12"/>
      <x:c r="G48" s="12"/>
      <x:c r="H48" s="17" t="str">
        <x:f>IF(AND(ISNUMBER(C48),C48&gt;0,ISNUMBER(D48),ISNUMBER(E48)),(D48-E48)/(2*C48),"")</x:f>
      </x:c>
      <x:c r="I48" s="17" t="str">
        <x:f>IF(AND(ISNUMBER(C48),C48&gt;0,ISNUMBER(F48),ISNUMBER(G48)),(F48-G48)/C48,"")</x:f>
      </x:c>
      <x:c r="J48" s="19" t="str">
        <x:f>IF(AND(ISNUMBER(H48),ISNUMBER(I48)),ABS(H48-I48)/MAX(ABS(H48),ABS(I48),0.000000001),"")</x:f>
      </x:c>
      <x:c r="K48" s="2" t="str">
        <x:f>IF(COUNT(C48:G48)=0,"Unused",IF(NOT(ISNUMBER(H48)),"Enter h and ±h",IF(AND(ISNUMBER(J48),J48&gt;0.05),"Slope changes &gt;5%","OK")))</x:f>
        <x:v>Unused</x:v>
      </x:c>
      <x:c r="L48" s="2" t="str">
        <x:f>'Setup'!$D$7</x:f>
        <x:v>mm</x:v>
      </x:c>
    </x:row>
    <x:row r="49" ht="23" customHeight="1">
      <x:c r="A49" s="2" t="str">
        <x:v>SRC044</x:v>
      </x:c>
      <x:c r="B49" s="2" t="str">
        <x:f>IF('Stack'!C49="","",'Stack'!C49)</x:f>
      </x:c>
      <x:c r="C49" s="12"/>
      <x:c r="D49" s="12"/>
      <x:c r="E49" s="12"/>
      <x:c r="F49" s="12"/>
      <x:c r="G49" s="12"/>
      <x:c r="H49" s="17" t="str">
        <x:f>IF(AND(ISNUMBER(C49),C49&gt;0,ISNUMBER(D49),ISNUMBER(E49)),(D49-E49)/(2*C49),"")</x:f>
      </x:c>
      <x:c r="I49" s="17" t="str">
        <x:f>IF(AND(ISNUMBER(C49),C49&gt;0,ISNUMBER(F49),ISNUMBER(G49)),(F49-G49)/C49,"")</x:f>
      </x:c>
      <x:c r="J49" s="19" t="str">
        <x:f>IF(AND(ISNUMBER(H49),ISNUMBER(I49)),ABS(H49-I49)/MAX(ABS(H49),ABS(I49),0.000000001),"")</x:f>
      </x:c>
      <x:c r="K49" s="2" t="str">
        <x:f>IF(COUNT(C49:G49)=0,"Unused",IF(NOT(ISNUMBER(H49)),"Enter h and ±h",IF(AND(ISNUMBER(J49),J49&gt;0.05),"Slope changes &gt;5%","OK")))</x:f>
        <x:v>Unused</x:v>
      </x:c>
      <x:c r="L49" s="2" t="str">
        <x:f>'Setup'!$D$7</x:f>
        <x:v>mm</x:v>
      </x:c>
    </x:row>
    <x:row r="50" ht="23" customHeight="1">
      <x:c r="A50" s="2" t="str">
        <x:v>SRC045</x:v>
      </x:c>
      <x:c r="B50" s="2" t="str">
        <x:f>IF('Stack'!C50="","",'Stack'!C50)</x:f>
      </x:c>
      <x:c r="C50" s="12"/>
      <x:c r="D50" s="12"/>
      <x:c r="E50" s="12"/>
      <x:c r="F50" s="12"/>
      <x:c r="G50" s="12"/>
      <x:c r="H50" s="17" t="str">
        <x:f>IF(AND(ISNUMBER(C50),C50&gt;0,ISNUMBER(D50),ISNUMBER(E50)),(D50-E50)/(2*C50),"")</x:f>
      </x:c>
      <x:c r="I50" s="17" t="str">
        <x:f>IF(AND(ISNUMBER(C50),C50&gt;0,ISNUMBER(F50),ISNUMBER(G50)),(F50-G50)/C50,"")</x:f>
      </x:c>
      <x:c r="J50" s="19" t="str">
        <x:f>IF(AND(ISNUMBER(H50),ISNUMBER(I50)),ABS(H50-I50)/MAX(ABS(H50),ABS(I50),0.000000001),"")</x:f>
      </x:c>
      <x:c r="K50" s="2" t="str">
        <x:f>IF(COUNT(C50:G50)=0,"Unused",IF(NOT(ISNUMBER(H50)),"Enter h and ±h",IF(AND(ISNUMBER(J50),J50&gt;0.05),"Slope changes &gt;5%","OK")))</x:f>
        <x:v>Unused</x:v>
      </x:c>
      <x:c r="L50" s="2" t="str">
        <x:f>'Setup'!$D$7</x:f>
        <x:v>mm</x:v>
      </x:c>
    </x:row>
    <x:row r="51" ht="23" customHeight="1">
      <x:c r="A51" s="2" t="str">
        <x:v>SRC046</x:v>
      </x:c>
      <x:c r="B51" s="2" t="str">
        <x:f>IF('Stack'!C51="","",'Stack'!C51)</x:f>
      </x:c>
      <x:c r="C51" s="12"/>
      <x:c r="D51" s="12"/>
      <x:c r="E51" s="12"/>
      <x:c r="F51" s="12"/>
      <x:c r="G51" s="12"/>
      <x:c r="H51" s="17" t="str">
        <x:f>IF(AND(ISNUMBER(C51),C51&gt;0,ISNUMBER(D51),ISNUMBER(E51)),(D51-E51)/(2*C51),"")</x:f>
      </x:c>
      <x:c r="I51" s="17" t="str">
        <x:f>IF(AND(ISNUMBER(C51),C51&gt;0,ISNUMBER(F51),ISNUMBER(G51)),(F51-G51)/C51,"")</x:f>
      </x:c>
      <x:c r="J51" s="19" t="str">
        <x:f>IF(AND(ISNUMBER(H51),ISNUMBER(I51)),ABS(H51-I51)/MAX(ABS(H51),ABS(I51),0.000000001),"")</x:f>
      </x:c>
      <x:c r="K51" s="2" t="str">
        <x:f>IF(COUNT(C51:G51)=0,"Unused",IF(NOT(ISNUMBER(H51)),"Enter h and ±h",IF(AND(ISNUMBER(J51),J51&gt;0.05),"Slope changes &gt;5%","OK")))</x:f>
        <x:v>Unused</x:v>
      </x:c>
      <x:c r="L51" s="2" t="str">
        <x:f>'Setup'!$D$7</x:f>
        <x:v>mm</x:v>
      </x:c>
    </x:row>
    <x:row r="52" ht="23" customHeight="1">
      <x:c r="A52" s="2" t="str">
        <x:v>SRC047</x:v>
      </x:c>
      <x:c r="B52" s="2" t="str">
        <x:f>IF('Stack'!C52="","",'Stack'!C52)</x:f>
      </x:c>
      <x:c r="C52" s="12"/>
      <x:c r="D52" s="12"/>
      <x:c r="E52" s="12"/>
      <x:c r="F52" s="12"/>
      <x:c r="G52" s="12"/>
      <x:c r="H52" s="17" t="str">
        <x:f>IF(AND(ISNUMBER(C52),C52&gt;0,ISNUMBER(D52),ISNUMBER(E52)),(D52-E52)/(2*C52),"")</x:f>
      </x:c>
      <x:c r="I52" s="17" t="str">
        <x:f>IF(AND(ISNUMBER(C52),C52&gt;0,ISNUMBER(F52),ISNUMBER(G52)),(F52-G52)/C52,"")</x:f>
      </x:c>
      <x:c r="J52" s="19" t="str">
        <x:f>IF(AND(ISNUMBER(H52),ISNUMBER(I52)),ABS(H52-I52)/MAX(ABS(H52),ABS(I52),0.000000001),"")</x:f>
      </x:c>
      <x:c r="K52" s="2" t="str">
        <x:f>IF(COUNT(C52:G52)=0,"Unused",IF(NOT(ISNUMBER(H52)),"Enter h and ±h",IF(AND(ISNUMBER(J52),J52&gt;0.05),"Slope changes &gt;5%","OK")))</x:f>
        <x:v>Unused</x:v>
      </x:c>
      <x:c r="L52" s="2" t="str">
        <x:f>'Setup'!$D$7</x:f>
        <x:v>mm</x:v>
      </x:c>
    </x:row>
    <x:row r="53" ht="23" customHeight="1">
      <x:c r="A53" s="2" t="str">
        <x:v>SRC048</x:v>
      </x:c>
      <x:c r="B53" s="2" t="str">
        <x:f>IF('Stack'!C53="","",'Stack'!C53)</x:f>
      </x:c>
      <x:c r="C53" s="12"/>
      <x:c r="D53" s="12"/>
      <x:c r="E53" s="12"/>
      <x:c r="F53" s="12"/>
      <x:c r="G53" s="12"/>
      <x:c r="H53" s="17" t="str">
        <x:f>IF(AND(ISNUMBER(C53),C53&gt;0,ISNUMBER(D53),ISNUMBER(E53)),(D53-E53)/(2*C53),"")</x:f>
      </x:c>
      <x:c r="I53" s="17" t="str">
        <x:f>IF(AND(ISNUMBER(C53),C53&gt;0,ISNUMBER(F53),ISNUMBER(G53)),(F53-G53)/C53,"")</x:f>
      </x:c>
      <x:c r="J53" s="19" t="str">
        <x:f>IF(AND(ISNUMBER(H53),ISNUMBER(I53)),ABS(H53-I53)/MAX(ABS(H53),ABS(I53),0.000000001),"")</x:f>
      </x:c>
      <x:c r="K53" s="2" t="str">
        <x:f>IF(COUNT(C53:G53)=0,"Unused",IF(NOT(ISNUMBER(H53)),"Enter h and ±h",IF(AND(ISNUMBER(J53),J53&gt;0.05),"Slope changes &gt;5%","OK")))</x:f>
        <x:v>Unused</x:v>
      </x:c>
      <x:c r="L53" s="2" t="str">
        <x:f>'Setup'!$D$7</x:f>
        <x:v>mm</x:v>
      </x:c>
    </x:row>
    <x:row r="54" ht="23" customHeight="1">
      <x:c r="A54" s="2" t="str">
        <x:v>SRC049</x:v>
      </x:c>
      <x:c r="B54" s="2" t="str">
        <x:f>IF('Stack'!C54="","",'Stack'!C54)</x:f>
      </x:c>
      <x:c r="C54" s="12"/>
      <x:c r="D54" s="12"/>
      <x:c r="E54" s="12"/>
      <x:c r="F54" s="12"/>
      <x:c r="G54" s="12"/>
      <x:c r="H54" s="17" t="str">
        <x:f>IF(AND(ISNUMBER(C54),C54&gt;0,ISNUMBER(D54),ISNUMBER(E54)),(D54-E54)/(2*C54),"")</x:f>
      </x:c>
      <x:c r="I54" s="17" t="str">
        <x:f>IF(AND(ISNUMBER(C54),C54&gt;0,ISNUMBER(F54),ISNUMBER(G54)),(F54-G54)/C54,"")</x:f>
      </x:c>
      <x:c r="J54" s="19" t="str">
        <x:f>IF(AND(ISNUMBER(H54),ISNUMBER(I54)),ABS(H54-I54)/MAX(ABS(H54),ABS(I54),0.000000001),"")</x:f>
      </x:c>
      <x:c r="K54" s="2" t="str">
        <x:f>IF(COUNT(C54:G54)=0,"Unused",IF(NOT(ISNUMBER(H54)),"Enter h and ±h",IF(AND(ISNUMBER(J54),J54&gt;0.05),"Slope changes &gt;5%","OK")))</x:f>
        <x:v>Unused</x:v>
      </x:c>
      <x:c r="L54" s="2" t="str">
        <x:f>'Setup'!$D$7</x:f>
        <x:v>mm</x:v>
      </x:c>
    </x:row>
    <x:row r="55" ht="23" customHeight="1">
      <x:c r="A55" s="2" t="str">
        <x:v>SRC050</x:v>
      </x:c>
      <x:c r="B55" s="2" t="str">
        <x:f>IF('Stack'!C55="","",'Stack'!C55)</x:f>
      </x:c>
      <x:c r="C55" s="12"/>
      <x:c r="D55" s="12"/>
      <x:c r="E55" s="12"/>
      <x:c r="F55" s="12"/>
      <x:c r="G55" s="12"/>
      <x:c r="H55" s="17" t="str">
        <x:f>IF(AND(ISNUMBER(C55),C55&gt;0,ISNUMBER(D55),ISNUMBER(E55)),(D55-E55)/(2*C55),"")</x:f>
      </x:c>
      <x:c r="I55" s="17" t="str">
        <x:f>IF(AND(ISNUMBER(C55),C55&gt;0,ISNUMBER(F55),ISNUMBER(G55)),(F55-G55)/C55,"")</x:f>
      </x:c>
      <x:c r="J55" s="19" t="str">
        <x:f>IF(AND(ISNUMBER(H55),ISNUMBER(I55)),ABS(H55-I55)/MAX(ABS(H55),ABS(I55),0.000000001),"")</x:f>
      </x:c>
      <x:c r="K55" s="2" t="str">
        <x:f>IF(COUNT(C55:G55)=0,"Unused",IF(NOT(ISNUMBER(H55)),"Enter h and ±h",IF(AND(ISNUMBER(J55),J55&gt;0.05),"Slope changes &gt;5%","OK")))</x:f>
        <x:v>Unused</x:v>
      </x:c>
      <x:c r="L55" s="2" t="str">
        <x:f>'Setup'!$D$7</x:f>
        <x:v>mm</x:v>
      </x:c>
    </x:row>
    <x:row r="56" ht="23" customHeight="1">
      <x:c r="A56" s="2" t="str">
        <x:v>SRC051</x:v>
      </x:c>
      <x:c r="B56" s="2" t="str">
        <x:f>IF('Stack'!C56="","",'Stack'!C56)</x:f>
      </x:c>
      <x:c r="C56" s="12"/>
      <x:c r="D56" s="12"/>
      <x:c r="E56" s="12"/>
      <x:c r="F56" s="12"/>
      <x:c r="G56" s="12"/>
      <x:c r="H56" s="17" t="str">
        <x:f>IF(AND(ISNUMBER(C56),C56&gt;0,ISNUMBER(D56),ISNUMBER(E56)),(D56-E56)/(2*C56),"")</x:f>
      </x:c>
      <x:c r="I56" s="17" t="str">
        <x:f>IF(AND(ISNUMBER(C56),C56&gt;0,ISNUMBER(F56),ISNUMBER(G56)),(F56-G56)/C56,"")</x:f>
      </x:c>
      <x:c r="J56" s="19" t="str">
        <x:f>IF(AND(ISNUMBER(H56),ISNUMBER(I56)),ABS(H56-I56)/MAX(ABS(H56),ABS(I56),0.000000001),"")</x:f>
      </x:c>
      <x:c r="K56" s="2" t="str">
        <x:f>IF(COUNT(C56:G56)=0,"Unused",IF(NOT(ISNUMBER(H56)),"Enter h and ±h",IF(AND(ISNUMBER(J56),J56&gt;0.05),"Slope changes &gt;5%","OK")))</x:f>
        <x:v>Unused</x:v>
      </x:c>
      <x:c r="L56" s="2" t="str">
        <x:f>'Setup'!$D$7</x:f>
        <x:v>mm</x:v>
      </x:c>
    </x:row>
    <x:row r="57" ht="23" customHeight="1">
      <x:c r="A57" s="2" t="str">
        <x:v>SRC052</x:v>
      </x:c>
      <x:c r="B57" s="2" t="str">
        <x:f>IF('Stack'!C57="","",'Stack'!C57)</x:f>
      </x:c>
      <x:c r="C57" s="12"/>
      <x:c r="D57" s="12"/>
      <x:c r="E57" s="12"/>
      <x:c r="F57" s="12"/>
      <x:c r="G57" s="12"/>
      <x:c r="H57" s="17" t="str">
        <x:f>IF(AND(ISNUMBER(C57),C57&gt;0,ISNUMBER(D57),ISNUMBER(E57)),(D57-E57)/(2*C57),"")</x:f>
      </x:c>
      <x:c r="I57" s="17" t="str">
        <x:f>IF(AND(ISNUMBER(C57),C57&gt;0,ISNUMBER(F57),ISNUMBER(G57)),(F57-G57)/C57,"")</x:f>
      </x:c>
      <x:c r="J57" s="19" t="str">
        <x:f>IF(AND(ISNUMBER(H57),ISNUMBER(I57)),ABS(H57-I57)/MAX(ABS(H57),ABS(I57),0.000000001),"")</x:f>
      </x:c>
      <x:c r="K57" s="2" t="str">
        <x:f>IF(COUNT(C57:G57)=0,"Unused",IF(NOT(ISNUMBER(H57)),"Enter h and ±h",IF(AND(ISNUMBER(J57),J57&gt;0.05),"Slope changes &gt;5%","OK")))</x:f>
        <x:v>Unused</x:v>
      </x:c>
      <x:c r="L57" s="2" t="str">
        <x:f>'Setup'!$D$7</x:f>
        <x:v>mm</x:v>
      </x:c>
    </x:row>
    <x:row r="58" ht="23" customHeight="1">
      <x:c r="A58" s="2" t="str">
        <x:v>SRC053</x:v>
      </x:c>
      <x:c r="B58" s="2" t="str">
        <x:f>IF('Stack'!C58="","",'Stack'!C58)</x:f>
      </x:c>
      <x:c r="C58" s="12"/>
      <x:c r="D58" s="12"/>
      <x:c r="E58" s="12"/>
      <x:c r="F58" s="12"/>
      <x:c r="G58" s="12"/>
      <x:c r="H58" s="17" t="str">
        <x:f>IF(AND(ISNUMBER(C58),C58&gt;0,ISNUMBER(D58),ISNUMBER(E58)),(D58-E58)/(2*C58),"")</x:f>
      </x:c>
      <x:c r="I58" s="17" t="str">
        <x:f>IF(AND(ISNUMBER(C58),C58&gt;0,ISNUMBER(F58),ISNUMBER(G58)),(F58-G58)/C58,"")</x:f>
      </x:c>
      <x:c r="J58" s="19" t="str">
        <x:f>IF(AND(ISNUMBER(H58),ISNUMBER(I58)),ABS(H58-I58)/MAX(ABS(H58),ABS(I58),0.000000001),"")</x:f>
      </x:c>
      <x:c r="K58" s="2" t="str">
        <x:f>IF(COUNT(C58:G58)=0,"Unused",IF(NOT(ISNUMBER(H58)),"Enter h and ±h",IF(AND(ISNUMBER(J58),J58&gt;0.05),"Slope changes &gt;5%","OK")))</x:f>
        <x:v>Unused</x:v>
      </x:c>
      <x:c r="L58" s="2" t="str">
        <x:f>'Setup'!$D$7</x:f>
        <x:v>mm</x:v>
      </x:c>
    </x:row>
    <x:row r="59" ht="23" customHeight="1">
      <x:c r="A59" s="2" t="str">
        <x:v>SRC054</x:v>
      </x:c>
      <x:c r="B59" s="2" t="str">
        <x:f>IF('Stack'!C59="","",'Stack'!C59)</x:f>
      </x:c>
      <x:c r="C59" s="12"/>
      <x:c r="D59" s="12"/>
      <x:c r="E59" s="12"/>
      <x:c r="F59" s="12"/>
      <x:c r="G59" s="12"/>
      <x:c r="H59" s="17" t="str">
        <x:f>IF(AND(ISNUMBER(C59),C59&gt;0,ISNUMBER(D59),ISNUMBER(E59)),(D59-E59)/(2*C59),"")</x:f>
      </x:c>
      <x:c r="I59" s="17" t="str">
        <x:f>IF(AND(ISNUMBER(C59),C59&gt;0,ISNUMBER(F59),ISNUMBER(G59)),(F59-G59)/C59,"")</x:f>
      </x:c>
      <x:c r="J59" s="19" t="str">
        <x:f>IF(AND(ISNUMBER(H59),ISNUMBER(I59)),ABS(H59-I59)/MAX(ABS(H59),ABS(I59),0.000000001),"")</x:f>
      </x:c>
      <x:c r="K59" s="2" t="str">
        <x:f>IF(COUNT(C59:G59)=0,"Unused",IF(NOT(ISNUMBER(H59)),"Enter h and ±h",IF(AND(ISNUMBER(J59),J59&gt;0.05),"Slope changes &gt;5%","OK")))</x:f>
        <x:v>Unused</x:v>
      </x:c>
      <x:c r="L59" s="2" t="str">
        <x:f>'Setup'!$D$7</x:f>
        <x:v>mm</x:v>
      </x:c>
    </x:row>
    <x:row r="60" ht="23" customHeight="1">
      <x:c r="A60" s="2" t="str">
        <x:v>SRC055</x:v>
      </x:c>
      <x:c r="B60" s="2" t="str">
        <x:f>IF('Stack'!C60="","",'Stack'!C60)</x:f>
      </x:c>
      <x:c r="C60" s="12"/>
      <x:c r="D60" s="12"/>
      <x:c r="E60" s="12"/>
      <x:c r="F60" s="12"/>
      <x:c r="G60" s="12"/>
      <x:c r="H60" s="17" t="str">
        <x:f>IF(AND(ISNUMBER(C60),C60&gt;0,ISNUMBER(D60),ISNUMBER(E60)),(D60-E60)/(2*C60),"")</x:f>
      </x:c>
      <x:c r="I60" s="17" t="str">
        <x:f>IF(AND(ISNUMBER(C60),C60&gt;0,ISNUMBER(F60),ISNUMBER(G60)),(F60-G60)/C60,"")</x:f>
      </x:c>
      <x:c r="J60" s="19" t="str">
        <x:f>IF(AND(ISNUMBER(H60),ISNUMBER(I60)),ABS(H60-I60)/MAX(ABS(H60),ABS(I60),0.000000001),"")</x:f>
      </x:c>
      <x:c r="K60" s="2" t="str">
        <x:f>IF(COUNT(C60:G60)=0,"Unused",IF(NOT(ISNUMBER(H60)),"Enter h and ±h",IF(AND(ISNUMBER(J60),J60&gt;0.05),"Slope changes &gt;5%","OK")))</x:f>
        <x:v>Unused</x:v>
      </x:c>
      <x:c r="L60" s="2" t="str">
        <x:f>'Setup'!$D$7</x:f>
        <x:v>mm</x:v>
      </x:c>
    </x:row>
    <x:row r="61" ht="23" customHeight="1">
      <x:c r="A61" s="2" t="str">
        <x:v>SRC056</x:v>
      </x:c>
      <x:c r="B61" s="2" t="str">
        <x:f>IF('Stack'!C61="","",'Stack'!C61)</x:f>
      </x:c>
      <x:c r="C61" s="12"/>
      <x:c r="D61" s="12"/>
      <x:c r="E61" s="12"/>
      <x:c r="F61" s="12"/>
      <x:c r="G61" s="12"/>
      <x:c r="H61" s="17" t="str">
        <x:f>IF(AND(ISNUMBER(C61),C61&gt;0,ISNUMBER(D61),ISNUMBER(E61)),(D61-E61)/(2*C61),"")</x:f>
      </x:c>
      <x:c r="I61" s="17" t="str">
        <x:f>IF(AND(ISNUMBER(C61),C61&gt;0,ISNUMBER(F61),ISNUMBER(G61)),(F61-G61)/C61,"")</x:f>
      </x:c>
      <x:c r="J61" s="19" t="str">
        <x:f>IF(AND(ISNUMBER(H61),ISNUMBER(I61)),ABS(H61-I61)/MAX(ABS(H61),ABS(I61),0.000000001),"")</x:f>
      </x:c>
      <x:c r="K61" s="2" t="str">
        <x:f>IF(COUNT(C61:G61)=0,"Unused",IF(NOT(ISNUMBER(H61)),"Enter h and ±h",IF(AND(ISNUMBER(J61),J61&gt;0.05),"Slope changes &gt;5%","OK")))</x:f>
        <x:v>Unused</x:v>
      </x:c>
      <x:c r="L61" s="2" t="str">
        <x:f>'Setup'!$D$7</x:f>
        <x:v>mm</x:v>
      </x:c>
    </x:row>
    <x:row r="62" ht="23" customHeight="1">
      <x:c r="A62" s="2" t="str">
        <x:v>SRC057</x:v>
      </x:c>
      <x:c r="B62" s="2" t="str">
        <x:f>IF('Stack'!C62="","",'Stack'!C62)</x:f>
      </x:c>
      <x:c r="C62" s="12"/>
      <x:c r="D62" s="12"/>
      <x:c r="E62" s="12"/>
      <x:c r="F62" s="12"/>
      <x:c r="G62" s="12"/>
      <x:c r="H62" s="17" t="str">
        <x:f>IF(AND(ISNUMBER(C62),C62&gt;0,ISNUMBER(D62),ISNUMBER(E62)),(D62-E62)/(2*C62),"")</x:f>
      </x:c>
      <x:c r="I62" s="17" t="str">
        <x:f>IF(AND(ISNUMBER(C62),C62&gt;0,ISNUMBER(F62),ISNUMBER(G62)),(F62-G62)/C62,"")</x:f>
      </x:c>
      <x:c r="J62" s="19" t="str">
        <x:f>IF(AND(ISNUMBER(H62),ISNUMBER(I62)),ABS(H62-I62)/MAX(ABS(H62),ABS(I62),0.000000001),"")</x:f>
      </x:c>
      <x:c r="K62" s="2" t="str">
        <x:f>IF(COUNT(C62:G62)=0,"Unused",IF(NOT(ISNUMBER(H62)),"Enter h and ±h",IF(AND(ISNUMBER(J62),J62&gt;0.05),"Slope changes &gt;5%","OK")))</x:f>
        <x:v>Unused</x:v>
      </x:c>
      <x:c r="L62" s="2" t="str">
        <x:f>'Setup'!$D$7</x:f>
        <x:v>mm</x:v>
      </x:c>
    </x:row>
    <x:row r="63" ht="23" customHeight="1">
      <x:c r="A63" s="2" t="str">
        <x:v>SRC058</x:v>
      </x:c>
      <x:c r="B63" s="2" t="str">
        <x:f>IF('Stack'!C63="","",'Stack'!C63)</x:f>
      </x:c>
      <x:c r="C63" s="12"/>
      <x:c r="D63" s="12"/>
      <x:c r="E63" s="12"/>
      <x:c r="F63" s="12"/>
      <x:c r="G63" s="12"/>
      <x:c r="H63" s="17" t="str">
        <x:f>IF(AND(ISNUMBER(C63),C63&gt;0,ISNUMBER(D63),ISNUMBER(E63)),(D63-E63)/(2*C63),"")</x:f>
      </x:c>
      <x:c r="I63" s="17" t="str">
        <x:f>IF(AND(ISNUMBER(C63),C63&gt;0,ISNUMBER(F63),ISNUMBER(G63)),(F63-G63)/C63,"")</x:f>
      </x:c>
      <x:c r="J63" s="19" t="str">
        <x:f>IF(AND(ISNUMBER(H63),ISNUMBER(I63)),ABS(H63-I63)/MAX(ABS(H63),ABS(I63),0.000000001),"")</x:f>
      </x:c>
      <x:c r="K63" s="2" t="str">
        <x:f>IF(COUNT(C63:G63)=0,"Unused",IF(NOT(ISNUMBER(H63)),"Enter h and ±h",IF(AND(ISNUMBER(J63),J63&gt;0.05),"Slope changes &gt;5%","OK")))</x:f>
        <x:v>Unused</x:v>
      </x:c>
      <x:c r="L63" s="2" t="str">
        <x:f>'Setup'!$D$7</x:f>
        <x:v>mm</x:v>
      </x:c>
    </x:row>
    <x:row r="64" ht="23" customHeight="1">
      <x:c r="A64" s="2" t="str">
        <x:v>SRC059</x:v>
      </x:c>
      <x:c r="B64" s="2" t="str">
        <x:f>IF('Stack'!C64="","",'Stack'!C64)</x:f>
      </x:c>
      <x:c r="C64" s="12"/>
      <x:c r="D64" s="12"/>
      <x:c r="E64" s="12"/>
      <x:c r="F64" s="12"/>
      <x:c r="G64" s="12"/>
      <x:c r="H64" s="17" t="str">
        <x:f>IF(AND(ISNUMBER(C64),C64&gt;0,ISNUMBER(D64),ISNUMBER(E64)),(D64-E64)/(2*C64),"")</x:f>
      </x:c>
      <x:c r="I64" s="17" t="str">
        <x:f>IF(AND(ISNUMBER(C64),C64&gt;0,ISNUMBER(F64),ISNUMBER(G64)),(F64-G64)/C64,"")</x:f>
      </x:c>
      <x:c r="J64" s="19" t="str">
        <x:f>IF(AND(ISNUMBER(H64),ISNUMBER(I64)),ABS(H64-I64)/MAX(ABS(H64),ABS(I64),0.000000001),"")</x:f>
      </x:c>
      <x:c r="K64" s="2" t="str">
        <x:f>IF(COUNT(C64:G64)=0,"Unused",IF(NOT(ISNUMBER(H64)),"Enter h and ±h",IF(AND(ISNUMBER(J64),J64&gt;0.05),"Slope changes &gt;5%","OK")))</x:f>
        <x:v>Unused</x:v>
      </x:c>
      <x:c r="L64" s="2" t="str">
        <x:f>'Setup'!$D$7</x:f>
        <x:v>mm</x:v>
      </x:c>
    </x:row>
    <x:row r="65" ht="23" customHeight="1">
      <x:c r="A65" s="2" t="str">
        <x:v>SRC060</x:v>
      </x:c>
      <x:c r="B65" s="2" t="str">
        <x:f>IF('Stack'!C65="","",'Stack'!C65)</x:f>
      </x:c>
      <x:c r="C65" s="12"/>
      <x:c r="D65" s="12"/>
      <x:c r="E65" s="12"/>
      <x:c r="F65" s="12"/>
      <x:c r="G65" s="12"/>
      <x:c r="H65" s="17" t="str">
        <x:f>IF(AND(ISNUMBER(C65),C65&gt;0,ISNUMBER(D65),ISNUMBER(E65)),(D65-E65)/(2*C65),"")</x:f>
      </x:c>
      <x:c r="I65" s="17" t="str">
        <x:f>IF(AND(ISNUMBER(C65),C65&gt;0,ISNUMBER(F65),ISNUMBER(G65)),(F65-G65)/C65,"")</x:f>
      </x:c>
      <x:c r="J65" s="19" t="str">
        <x:f>IF(AND(ISNUMBER(H65),ISNUMBER(I65)),ABS(H65-I65)/MAX(ABS(H65),ABS(I65),0.000000001),"")</x:f>
      </x:c>
      <x:c r="K65" s="2" t="str">
        <x:f>IF(COUNT(C65:G65)=0,"Unused",IF(NOT(ISNUMBER(H65)),"Enter h and ±h",IF(AND(ISNUMBER(J65),J65&gt;0.05),"Slope changes &gt;5%","OK")))</x:f>
        <x:v>Unused</x:v>
      </x:c>
      <x:c r="L65" s="2" t="str">
        <x:f>'Setup'!$D$7</x:f>
        <x:v>mm</x:v>
      </x:c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40" customHeight="1">
      <x:c r="A68" s="6" t="str">
        <x:v>The source mean shift remains in Stack K. Perturbation values are taken around zero source deviation. Recalculate the full assembly after each change. A zero h is invalid.</x:v>
      </x:c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40" customHeight="1">
      <x:c r="A70" s="6" t="str">
        <x:v>A slope-change flag is a diagnostic, not proof of linearity. Run further checks if contact states, seating, floating fasteners or material condition modifiers change.</x:v>
      </x:c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</x:sheetData>
  <x:mergeCells>
    <x:mergeCell ref="A4:L4"/>
    <x:mergeCell ref="A68:L68"/>
    <x:mergeCell ref="A70:L70"/>
  </x:mergeCells>
  <x:conditionalFormatting sqref="J6:J65">
    <x:cfRule type="expression" dxfId="1" priority="1">
      <x:formula>AND(ISNUMBER(J6),J6&gt;0.05)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392A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How to build your RSS stack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40" customHeight="1">
      <x:c r="A4" s="6" t="str">
        <x:v>Use this file for one scalar measurement at a time. It combines signed first-order sensitivities with source standard deviations. No macros or external data links are required.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2" customHeight="1">
      <x:c r="A6" s="10" t="str">
        <x:v>Step</x:v>
      </x:c>
      <x:c r="B6" s="10" t="str">
        <x:v>Action</x:v>
      </x:c>
      <x:c r="C6" s="10" t="str"/>
      <x:c r="D6" s="10" t="str"/>
      <x:c r="E6" s="10" t="str"/>
      <x:c r="F6" s="10" t="str"/>
      <x:c r="G6" s="10" t="str"/>
      <x:c r="H6" s="10" t="str">
        <x:v>Where / completion check</x:v>
      </x:c>
      <x:c r="I6" s="10" t="str"/>
      <x:c r="J6" s="10" t="str"/>
      <x:c r="K6" s="10" t="str"/>
      <x:c r="L6" s="10" t="str">
        <x:v>Where / completion check</x:v>
      </x:c>
    </x:row>
    <x:row r="7" ht="64" customHeight="1">
      <x:c r="A7" s="27" t="n">
        <x:v>1</x:v>
      </x:c>
      <x:c r="B7" s="27" t="str">
        <x:v>Save a copy for the real study. Keep the supplied case as your learning reference.</x:v>
      </x:c>
      <x:c r="C7" s="27"/>
      <x:c r="D7" s="27"/>
      <x:c r="E7" s="27"/>
      <x:c r="F7" s="27"/>
      <x:c r="G7" s="27"/>
      <x:c r="H7" s="27" t="str">
        <x:v>Replace illustrative data before using the result for a design decision.</x:v>
      </x:c>
      <x:c r="I7" s="27"/>
      <x:c r="J7" s="27"/>
      <x:c r="K7" s="27"/>
      <x:c r="L7" s="27"/>
    </x:row>
    <x:row r="8" ht="64" customHeight="1">
      <x:c r="A8" s="14" t="n">
        <x:v>2</x:v>
      </x:c>
      <x:c r="B8" s="14" t="str">
        <x:v>Define the output, unit, nominal value, specification limits and output coverage factor.</x:v>
      </x:c>
      <x:c r="C8" s="14"/>
      <x:c r="D8" s="14"/>
      <x:c r="E8" s="14"/>
      <x:c r="F8" s="14"/>
      <x:c r="G8" s="14"/>
      <x:c r="H8" s="14" t="str">
        <x:v>Setup D6:D12. Example: nominal gap 3 mm, limits 2.2–3.8 mm, k = 3.</x:v>
      </x:c>
      <x:c r="I8" s="14"/>
      <x:c r="J8" s="14"/>
      <x:c r="K8" s="14"/>
      <x:c r="L8" s="14"/>
    </x:row>
    <x:row r="9" ht="64" customHeight="1">
      <x:c r="A9" s="27" t="n">
        <x:v>3</x:v>
      </x:c>
      <x:c r="B9" s="27" t="str">
        <x:v>Define the reference frame, direction, assembly state and tightening / release sequence.</x:v>
      </x:c>
      <x:c r="C9" s="27"/>
      <x:c r="D9" s="27"/>
      <x:c r="E9" s="27"/>
      <x:c r="F9" s="27"/>
      <x:c r="G9" s="27"/>
      <x:c r="H9" s="27" t="str">
        <x:v>Setup D17:D22 and A27:L35. Record which contacts locate and which retain.</x:v>
      </x:c>
      <x:c r="I9" s="27"/>
      <x:c r="J9" s="27"/>
      <x:c r="K9" s="27"/>
      <x:c r="L9" s="27"/>
    </x:row>
    <x:row r="10" ht="64" customHeight="1">
      <x:c r="A10" s="14" t="n">
        <x:v>4</x:v>
      </x:c>
      <x:c r="B10" s="14" t="str">
        <x:v>Trace backward from BOTH measurement features through their locating relationships.</x:v>
      </x:c>
      <x:c r="C10" s="14"/>
      <x:c r="D10" s="14"/>
      <x:c r="E10" s="14"/>
      <x:c r="F10" s="14"/>
      <x:c r="G10" s="14"/>
      <x:c r="H10" s="14" t="str">
        <x:v>List every manufacturing, fixture and assembly source that can change the relative output.</x:v>
      </x:c>
      <x:c r="I10" s="14"/>
      <x:c r="J10" s="14"/>
      <x:c r="K10" s="14"/>
      <x:c r="L10" s="14"/>
    </x:row>
    <x:row r="11" ht="64" customHeight="1">
      <x:c r="A11" s="27" t="n">
        <x:v>5</x:v>
      </x:c>
      <x:c r="B11" s="27" t="str">
        <x:v>Choose unique scalar variation sources. Separate common shift, tilt and local error when the process needs them.</x:v>
      </x:c>
      <x:c r="C11" s="27"/>
      <x:c r="D11" s="27"/>
      <x:c r="E11" s="27"/>
      <x:c r="F11" s="27"/>
      <x:c r="G11" s="27"/>
      <x:c r="H11" s="27" t="str">
        <x:v>One physical source = one Stack row. Correlated pads may be represented by independent common / differential modes.</x:v>
      </x:c>
      <x:c r="I11" s="27"/>
      <x:c r="J11" s="27"/>
      <x:c r="K11" s="27"/>
      <x:c r="L11" s="27"/>
    </x:row>
    <x:row r="12" ht="64" customHeight="1">
      <x:c r="A12" s="14" t="n">
        <x:v>6</x:v>
      </x:c>
      <x:c r="B12" s="14" t="str">
        <x:v>Enter source name, part / stage, input unit and signed lower / upper deviations. Set Include = 1.</x:v>
      </x:c>
      <x:c r="C12" s="14"/>
      <x:c r="D12" s="14"/>
      <x:c r="E12" s="14"/>
      <x:c r="F12" s="14"/>
      <x:c r="G12" s="14"/>
      <x:c r="H12" s="14" t="str">
        <x:v>Stack B:G. Limits are deviations from nominal, e.g. -0.30 and +0.30, not a nominal dimension.</x:v>
      </x:c>
      <x:c r="I12" s="14"/>
      <x:c r="J12" s="14"/>
      <x:c r="K12" s="14"/>
      <x:c r="L12" s="14"/>
    </x:row>
    <x:row r="13" ht="64" customHeight="1">
      <x:c r="A13" s="27" t="n">
        <x:v>7</x:v>
      </x:c>
      <x:c r="B13" s="27" t="str">
        <x:v>Select the sigma method. Normal uses the input k. Uniform spans the full interval. Measured uses individual-part σ.</x:v>
      </x:c>
      <x:c r="C13" s="27"/>
      <x:c r="D13" s="27"/>
      <x:c r="E13" s="27"/>
      <x:c r="F13" s="27"/>
      <x:c r="G13" s="27"/>
      <x:c r="H13" s="27" t="str">
        <x:v>Stack H:J. Normal ±0.30 at k = 3 gives σ = 0.10. Uniform ±0.30 gives σ = 0.173205.</x:v>
      </x:c>
      <x:c r="I13" s="27"/>
      <x:c r="J13" s="27"/>
      <x:c r="K13" s="27"/>
      <x:c r="L13" s="27"/>
    </x:row>
    <x:row r="14" ht="64" customHeight="1">
      <x:c r="A14" s="14" t="n">
        <x:v>8</x:v>
      </x:c>
      <x:c r="B14" s="14" t="str">
        <x:v>Enter the process mean deviation independently of statistical spread.</x:v>
      </x:c>
      <x:c r="C14" s="14"/>
      <x:c r="D14" s="14"/>
      <x:c r="E14" s="14"/>
      <x:c r="F14" s="14"/>
      <x:c r="G14" s="14"/>
      <x:c r="H14" s="14" t="str">
        <x:v>Stack K. Uniform requires the interval midpoint. Asymmetric normal limits need a justified mean and σ assumption.</x:v>
      </x:c>
      <x:c r="I14" s="14"/>
      <x:c r="J14" s="14"/>
      <x:c r="K14" s="14"/>
      <x:c r="L14" s="14"/>
    </x:row>
    <x:row r="15" ht="64" customHeight="1">
      <x:c r="A15" s="27" t="n">
        <x:v>9</x:v>
      </x:c>
      <x:c r="B15" s="27" t="str">
        <x:v>Choose Manual, Locator or Perturbation as the coefficient method. Retain the sign and unit.</x:v>
      </x:c>
      <x:c r="C15" s="27"/>
      <x:c r="D15" s="27"/>
      <x:c r="E15" s="27"/>
      <x:c r="F15" s="27"/>
      <x:c r="G15" s="27"/>
      <x:c r="H15" s="27" t="str">
        <x:v>Stack L:M. A coefficient has output units per input unit. Positive increases the output.</x:v>
      </x:c>
      <x:c r="I15" s="27"/>
      <x:c r="J15" s="27"/>
      <x:c r="K15" s="27"/>
      <x:c r="L15" s="27"/>
    </x:row>
    <x:row r="16" ht="64" customHeight="1">
      <x:c r="A16" s="14" t="n">
        <x:v>10</x:v>
      </x:c>
      <x:c r="B16" s="14" t="str">
        <x:v>For this supported locating scheme, enter CAD coordinates and the fixed measurement direction.</x:v>
      </x:c>
      <x:c r="C16" s="14"/>
      <x:c r="D16" s="14"/>
      <x:c r="E16" s="14"/>
      <x:c r="F16" s="14"/>
      <x:c r="G16" s="14"/>
      <x:c r="H16" s="14" t="str">
        <x:v>Locator B6:D11 and H6:H8. Geometry status B22 must read OK. Stack SRC001–SRC006 receive -sensor c.</x:v>
      </x:c>
      <x:c r="I16" s="14"/>
      <x:c r="J16" s="14"/>
      <x:c r="K16" s="14"/>
      <x:c r="L16" s="14"/>
    </x:row>
    <x:row r="17" ht="64" customHeight="1">
      <x:c r="A17" s="27" t="n">
        <x:v>11</x:v>
      </x:c>
      <x:c r="B17" s="27" t="str">
        <x:v>For other assembly geometries, calculate signed sensitivities from the full assembly model.</x:v>
      </x:c>
      <x:c r="C17" s="27"/>
      <x:c r="D17" s="27"/>
      <x:c r="E17" s="27"/>
      <x:c r="F17" s="27"/>
      <x:c r="G17" s="27"/>
      <x:c r="H17" s="27" t="str">
        <x:v>Perturb one source by ±h, reassemble each time, and record the final output in Sensitivity C:E.</x:v>
      </x:c>
      <x:c r="I17" s="27"/>
      <x:c r="J17" s="27"/>
      <x:c r="K17" s="27"/>
      <x:c r="L17" s="27"/>
    </x:row>
    <x:row r="18" ht="64" customHeight="1">
      <x:c r="A18" s="14" t="n">
        <x:v>12</x:v>
      </x:c>
      <x:c r="B18" s="14" t="str">
        <x:v>Check linearity with optional ±h/2 runs. Use the same input unit and output definition.</x:v>
      </x:c>
      <x:c r="C18" s="14"/>
      <x:c r="D18" s="14"/>
      <x:c r="E18" s="14"/>
      <x:c r="F18" s="14"/>
      <x:c r="G18" s="14"/>
      <x:c r="H18" s="14" t="str">
        <x:v>Sensitivity F:G. Compare slopes in J. More than 5% change is flagged for investigation.</x:v>
      </x:c>
      <x:c r="I18" s="14"/>
      <x:c r="J18" s="14"/>
      <x:c r="K18" s="14"/>
      <x:c r="L18" s="14"/>
    </x:row>
    <x:row r="19" ht="64" customHeight="1">
      <x:c r="A19" s="27" t="n">
        <x:v>13</x:v>
      </x:c>
      <x:c r="B19" s="27" t="str">
        <x:v>Combine shared-source branch effects BEFORE RSS. Preserve the same source ID across its effects.</x:v>
      </x:c>
      <x:c r="C19" s="27"/>
      <x:c r="D19" s="27"/>
      <x:c r="E19" s="27"/>
      <x:c r="F19" s="27"/>
      <x:c r="G19" s="27"/>
      <x:c r="H19" s="27" t="str">
        <x:v>Gap coefficient = fascia coefficient - sensor coefficient. Enter the net value in one Manual row.</x:v>
      </x:c>
      <x:c r="I19" s="27"/>
      <x:c r="J19" s="27"/>
      <x:c r="K19" s="27"/>
      <x:c r="L19" s="27"/>
    </x:row>
    <x:row r="20" ht="64" customHeight="1">
      <x:c r="A20" s="14" t="n">
        <x:v>14</x:v>
      </x:c>
      <x:c r="B20" s="14" t="str">
        <x:v>Deactivate every unused learning source and fill available slots up to SRC060.</x:v>
      </x:c>
      <x:c r="C20" s="14"/>
      <x:c r="D20" s="14"/>
      <x:c r="E20" s="14"/>
      <x:c r="F20" s="14"/>
      <x:c r="G20" s="14"/>
      <x:c r="H20" s="14" t="str">
        <x:v>Stack B = 0 excludes a row. Empty active inputs generate a status message. Keep formula columns intact.</x:v>
      </x:c>
      <x:c r="I20" s="14"/>
      <x:c r="J20" s="14"/>
      <x:c r="K20" s="14"/>
      <x:c r="L20" s="14"/>
    </x:row>
    <x:row r="21" ht="64" customHeight="1">
      <x:c r="A21" s="27" t="n">
        <x:v>15</x:v>
      </x:c>
      <x:c r="B21" s="27" t="str">
        <x:v>Review active rows and results. Investigate input messages before interpreting numbers.</x:v>
      </x:c>
      <x:c r="C21" s="27"/>
      <x:c r="D21" s="27"/>
      <x:c r="E21" s="27"/>
      <x:c r="F21" s="27"/>
      <x:c r="G21" s="27"/>
      <x:c r="H21" s="27" t="str">
        <x:v>Stack W must read OK for active sources; Results C8 must read OK.</x:v>
      </x:c>
      <x:c r="I21" s="27"/>
      <x:c r="J21" s="27"/>
      <x:c r="K21" s="27"/>
      <x:c r="L21" s="27"/>
    </x:row>
    <x:row r="22" ht="64" customHeight="1">
      <x:c r="A22" s="14" t="n">
        <x:v>16</x:v>
      </x:c>
      <x:c r="B22" s="14" t="str">
        <x:v>Compare the mean ±kσ interval with the output specifications and review the largest contributors.</x:v>
      </x:c>
      <x:c r="C22" s="14"/>
      <x:c r="D22" s="14"/>
      <x:c r="E22" s="14"/>
      <x:c r="F22" s="14"/>
      <x:c r="G22" s="14"/>
      <x:c r="H22" s="14" t="str">
        <x:v>Results C11:C19 and the top-source table. Tighten σ or reduce geometric amplification where justified.</x:v>
      </x:c>
      <x:c r="I22" s="14"/>
      <x:c r="J22" s="14"/>
      <x:c r="K22" s="14"/>
      <x:c r="L22" s="14"/>
    </x:row>
    <x:row r="23" ht="64" customHeight="1">
      <x:c r="A23" s="27" t="n">
        <x:v>17</x:v>
      </x:c>
      <x:c r="B23" s="27" t="str">
        <x:v>Validate nominal geometry, signs, common-source cancellation and sensitivity linearity.</x:v>
      </x:c>
      <x:c r="C23" s="27"/>
      <x:c r="D23" s="27"/>
      <x:c r="E23" s="27"/>
      <x:c r="F23" s="27"/>
      <x:c r="G23" s="27"/>
      <x:c r="H23" s="27" t="str">
        <x:v>Compare with independent calculations, 3DCS / CAD perturbations and measured assemblies when available.</x:v>
      </x:c>
      <x:c r="I23" s="27"/>
      <x:c r="J23" s="27"/>
      <x:c r="K23" s="27"/>
      <x:c r="L23" s="27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42" customHeight="1">
      <x:c r="A26" s="10" t="str">
        <x:v>Concept</x:v>
      </x:c>
      <x:c r="B26" s="10" t="str"/>
      <x:c r="C26" s="10" t="str"/>
      <x:c r="D26" s="10" t="str">
        <x:v>Definition / use</x:v>
      </x:c>
      <x:c r="E26" s="10" t="str"/>
      <x:c r="F26" s="10" t="str"/>
      <x:c r="G26" s="10" t="str"/>
      <x:c r="H26" s="10" t="str"/>
      <x:c r="I26" s="10" t="str"/>
      <x:c r="J26" s="10" t="str"/>
      <x:c r="K26" s="10" t="str"/>
      <x:c r="L26" s="10" t="str"/>
    </x:row>
    <x:row r="27" ht="52" customHeight="1">
      <x:c r="A27" s="14" t="str">
        <x:v>Signed sensitivity c</x:v>
      </x:c>
      <x:c r="B27" s="14"/>
      <x:c r="C27" s="14"/>
      <x:c r="D27" s="14" t="str">
        <x:v>Change in final output per unit change in one input, after resolving the assembly. A coefficient is not necessarily +1 or -1.</x:v>
      </x:c>
      <x:c r="E27" s="14"/>
      <x:c r="F27" s="14"/>
      <x:c r="G27" s="14"/>
      <x:c r="H27" s="14"/>
      <x:c r="I27" s="14"/>
      <x:c r="J27" s="14"/>
      <x:c r="K27" s="14"/>
      <x:c r="L27" s="14"/>
    </x:row>
    <x:row r="28" ht="52" customHeight="1">
      <x:c r="A28" s="14" t="str">
        <x:v>Independent RSS</x:v>
      </x:c>
      <x:c r="B28" s="14"/>
      <x:c r="C28" s="14"/>
      <x:c r="D28" s="14" t="str">
        <x:v>σ_output = sqrt(sum((c_i × σ_i)^2)). The workbook uses unique independent scalar / latent sources.</x:v>
      </x:c>
      <x:c r="E28" s="14"/>
      <x:c r="F28" s="14"/>
      <x:c r="G28" s="14"/>
      <x:c r="H28" s="14"/>
      <x:c r="I28" s="14"/>
      <x:c r="J28" s="14"/>
      <x:c r="K28" s="14"/>
      <x:c r="L28" s="14"/>
    </x:row>
    <x:row r="29" ht="52" customHeight="1">
      <x:c r="A29" s="14" t="str">
        <x:v>Mean prediction</x:v>
      </x:c>
      <x:c r="B29" s="14"/>
      <x:c r="C29" s="14"/>
      <x:c r="D29" s="14" t="str">
        <x:v>mean_output = nominal_output + sum(c_i × mean_input_i). A biased process can fail despite a small RSS spread.</x:v>
      </x:c>
      <x:c r="E29" s="14"/>
      <x:c r="F29" s="14"/>
      <x:c r="G29" s="14"/>
      <x:c r="H29" s="14"/>
      <x:c r="I29" s="14"/>
      <x:c r="J29" s="14"/>
      <x:c r="K29" s="14"/>
      <x:c r="L29" s="14"/>
    </x:row>
    <x:row r="30" ht="52" customHeight="1">
      <x:c r="A30" s="14" t="str">
        <x:v>Output k vs input k</x:v>
      </x:c>
      <x:c r="B30" s="14"/>
      <x:c r="C30" s="14"/>
      <x:c r="D30" s="14" t="str">
        <x:v>Input k converts a source tolerance interval to an assumed normal σ. Output k selects the reported statistical interval. They are separate controls.</x:v>
      </x:c>
      <x:c r="E30" s="14"/>
      <x:c r="F30" s="14"/>
      <x:c r="G30" s="14"/>
      <x:c r="H30" s="14"/>
      <x:c r="I30" s="14"/>
      <x:c r="J30" s="14"/>
      <x:c r="K30" s="14"/>
      <x:c r="L30" s="14"/>
    </x:row>
    <x:row r="31" ht="52" customHeight="1">
      <x:c r="A31" s="14" t="str">
        <x:v>Variance share</x:v>
      </x:c>
      <x:c r="B31" s="14"/>
      <x:c r="C31" s="14"/>
      <x:c r="D31" s="14" t="str">
        <x:v>(c_i × σ_i)^2 / total variance. Rank uses an ID/order tie-break so the top-source list remains unique.</x:v>
      </x:c>
      <x:c r="E31" s="14"/>
      <x:c r="F31" s="14"/>
      <x:c r="G31" s="14"/>
      <x:c r="H31" s="14"/>
      <x:c r="I31" s="14"/>
      <x:c r="J31" s="14"/>
      <x:c r="K31" s="14"/>
      <x:c r="L31" s="14"/>
    </x:row>
    <x:row r="32" ht="52" customHeight="1">
      <x:c r="A32" s="14" t="str">
        <x:v>Measured sigma</x:v>
      </x:c>
      <x:c r="B32" s="14"/>
      <x:c r="C32" s="14"/>
      <x:c r="D32" s="14" t="str">
        <x:v>Use individual-part standard deviation. Do not use standard error of the mean, a tolerance value, or a 6σ width as σ.</x:v>
      </x:c>
      <x:c r="E32" s="14"/>
      <x:c r="F32" s="14"/>
      <x:c r="G32" s="14"/>
      <x:c r="H32" s="14"/>
      <x:c r="I32" s="14"/>
      <x:c r="J32" s="14"/>
      <x:c r="K32" s="14"/>
      <x:c r="L32" s="14"/>
    </x:row>
    <x:row r="33" ht="52" customHeight="1">
      <x:c r="A33" s="14" t="str">
        <x:v>GD&amp;T representation</x:v>
      </x:c>
      <x:c r="B33" s="14"/>
      <x:c r="C33" s="14"/>
      <x:c r="D33" s="14" t="str">
        <x:v>A cylindrical position zone, datum mobility, bonus tolerance and form zones need a geometric / statistical model. This file does not convert a GD&amp;T callout automatically.</x:v>
      </x:c>
      <x:c r="E33" s="14"/>
      <x:c r="F33" s="14"/>
      <x:c r="G33" s="14"/>
      <x:c r="H33" s="14"/>
      <x:c r="I33" s="14"/>
      <x:c r="J33" s="14"/>
      <x:c r="K33" s="14"/>
      <x:c r="L33" s="14"/>
    </x:row>
    <x:row r="34" ht="52" customHeight="1">
      <x:c r="A34" s="14" t="str">
        <x:v>Angle inputs</x:v>
      </x:c>
      <x:c r="B34" s="14"/>
      <x:c r="C34" s="14"/>
      <x:c r="D34" s="14" t="str">
        <x:v>Manual and Perturbation sources may use deg or rad. The coefficient must match that input unit. Locator rotations are radians internally; its scalar source inputs are mm.</x:v>
      </x:c>
      <x:c r="E34" s="14"/>
      <x:c r="F34" s="14"/>
      <x:c r="G34" s="14"/>
      <x:c r="H34" s="14"/>
      <x:c r="I34" s="14"/>
      <x:c r="J34" s="14"/>
      <x:c r="K34" s="14"/>
      <x:c r="L34" s="14"/>
    </x:row>
    <x:row r="35" ht="52" customHeight="1">
      <x:c r="A35" s="14" t="str">
        <x:v>Multiple outputs</x:v>
      </x:c>
      <x:c r="B35" s="14"/>
      <x:c r="C35" s="14"/>
      <x:c r="D35" s="14" t="str">
        <x:v>Duplicate the workbook for another gap or signed angle. Locator produces projected point motion only; it does not calculate yaw, pitch, roll or total angle magnitude.</x:v>
      </x:c>
      <x:c r="E35" s="14"/>
      <x:c r="F35" s="14"/>
      <x:c r="G35" s="14"/>
      <x:c r="H35" s="14"/>
      <x:c r="I35" s="14"/>
      <x:c r="J35" s="14"/>
      <x:c r="K35" s="14"/>
      <x:c r="L35" s="14"/>
    </x:row>
    <x:row r="36" ht="52" customHeight="1">
      <x:c r="A36" s="14" t="str">
        <x:v>Correlation</x:v>
      </x:c>
      <x:c r="B36" s="14"/>
      <x:c r="C36" s="14"/>
      <x:c r="D36" s="14" t="str">
        <x:v>Use independent latent manufacturing modes with combined effects in each row. Do not enter correlated raw variables as independent rows. A general covariance matrix is not implemented here.</x:v>
      </x:c>
      <x:c r="E36" s="14"/>
      <x:c r="F36" s="14"/>
      <x:c r="G36" s="14"/>
      <x:c r="H36" s="14"/>
      <x:c r="I36" s="14"/>
      <x:c r="J36" s="14"/>
      <x:c r="K36" s="14"/>
      <x:c r="L36" s="14"/>
    </x:row>
    <x:row r="37" ht="52" customHeight="1">
      <x:c r="A37" s="14" t="str">
        <x:v>Linear tolerance box</x:v>
      </x:c>
      <x:c r="B37" s="14"/>
      <x:c r="C37" s="14"/>
      <x:c r="D37" s="14" t="str">
        <x:v>Sum minimum / maximum signed effects using the scalar limits. This bound differs from statistical spread and from an exact nonlinear / GD&amp;T feasible-zone worst case.</x:v>
      </x:c>
      <x:c r="E37" s="14"/>
      <x:c r="F37" s="14"/>
      <x:c r="G37" s="14"/>
      <x:c r="H37" s="14"/>
      <x:c r="I37" s="14"/>
      <x:c r="J37" s="14"/>
      <x:c r="K37" s="14"/>
      <x:c r="L37" s="14"/>
    </x:row>
    <x:row r="38" ht="52" customHeight="1">
      <x:c r="A38" s="14" t="str">
        <x:v>Model limits</x:v>
      </x:c>
      <x:c r="B38" s="14"/>
      <x:c r="C38" s="14"/>
      <x:c r="D38" s="14" t="str">
        <x:v>Rigid small motions and a fixed locating / contact state. Flexible deformation, clearance seating, contact switching and springback need a suitable separate model or simulation.</x:v>
      </x:c>
      <x:c r="E38" s="14"/>
      <x:c r="F38" s="14"/>
      <x:c r="G38" s="14"/>
      <x:c r="H38" s="14"/>
      <x:c r="I38" s="14"/>
      <x:c r="J38" s="14"/>
      <x:c r="K38" s="14"/>
      <x:c r="L38" s="14"/>
    </x:row>
    <x:row r="39" ht="52" customHeight="1">
      <x:c r="A39" s="14" t="str">
        <x:v>Range capacity</x:v>
      </x:c>
      <x:c r="B39" s="14"/>
      <x:c r="C39" s="14"/>
      <x:c r="D39" s="14" t="str">
        <x:v>60 source slots are fully included in results and ranking. Above 60, extend ALL ranges, formulas, matching sensitivity rows and validations; simply inserting a row is insufficient.</x:v>
      </x:c>
      <x:c r="E39" s="14"/>
      <x:c r="F39" s="14"/>
      <x:c r="G39" s="14"/>
      <x:c r="H39" s="14"/>
      <x:c r="I39" s="14"/>
      <x:c r="J39" s="14"/>
      <x:c r="K39" s="14"/>
      <x:c r="L39" s="14"/>
    </x:row>
    <x:row r="40" ht="52" customHeight="1">
      <x:c r="A40" s="14" t="str">
        <x:v>Formula editing</x:v>
      </x:c>
      <x:c r="B40" s="14"/>
      <x:c r="C40" s="14"/>
      <x:c r="D40" s="14" t="str">
        <x:v>Amber input fields may be changed. Blue-grey calculation fields and source IDs should remain intact. Use Excel Automatic calculation. There is no password protection.</x:v>
      </x:c>
      <x:c r="E40" s="14"/>
      <x:c r="F40" s="14"/>
      <x:c r="G40" s="14"/>
      <x:c r="H40" s="14"/>
      <x:c r="I40" s="14"/>
      <x:c r="J40" s="14"/>
      <x:c r="K40" s="14"/>
      <x:c r="L40" s="14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42" customHeight="1">
      <x:c r="A43" s="10" t="str">
        <x:v>Learning check</x:v>
      </x:c>
      <x:c r="B43" s="10" t="str"/>
      <x:c r="C43" s="10" t="str"/>
      <x:c r="D43" s="10" t="str">
        <x:v>Expected behaviour</x:v>
      </x:c>
      <x:c r="E43" s="10" t="str"/>
      <x:c r="F43" s="10" t="str"/>
      <x:c r="G43" s="10" t="str"/>
      <x:c r="H43" s="10" t="str"/>
      <x:c r="I43" s="10" t="str"/>
      <x:c r="J43" s="10" t="str"/>
      <x:c r="K43" s="10" t="str"/>
      <x:c r="L43" s="10" t="str"/>
    </x:row>
    <x:row r="44" ht="56" customHeight="1">
      <x:c r="A44" s="14" t="str">
        <x:v>Locator coefficients</x:v>
      </x:c>
      <x:c r="B44" s="14"/>
      <x:c r="C44" s="14"/>
      <x:c r="D44" s="14" t="str">
        <x:v>For the supplied geometry, sensor c values are -0.759485, +0.838052, +0.628539, +0.707107, +0.471405, -0.471405. Gap coefficients have opposite signs.</x:v>
      </x:c>
      <x:c r="E44" s="14"/>
      <x:c r="F44" s="14"/>
      <x:c r="G44" s="14"/>
      <x:c r="H44" s="14"/>
      <x:c r="I44" s="14"/>
      <x:c r="J44" s="14"/>
      <x:c r="K44" s="14"/>
      <x:c r="L44" s="14"/>
    </x:row>
    <x:row r="45" ht="56" customHeight="1">
      <x:c r="A45" s="14" t="str">
        <x:v>Six-source bracket RSS</x:v>
      </x:c>
      <x:c r="B45" s="14"/>
      <x:c r="C45" s="14"/>
      <x:c r="D45" s="14" t="str">
        <x:v>Activate SRC001–SRC006 only. Expected σ = 0.141922910 mm and ±3σ half-width = 0.425768731 mm. Restore other Include fields afterward.</x:v>
      </x:c>
      <x:c r="E45" s="14"/>
      <x:c r="F45" s="14"/>
      <x:c r="G45" s="14"/>
      <x:c r="H45" s="14"/>
      <x:c r="I45" s="14"/>
      <x:c r="J45" s="14"/>
      <x:c r="K45" s="14"/>
      <x:c r="L45" s="14"/>
    </x:row>
    <x:row r="46" ht="56" customHeight="1">
      <x:c r="A46" s="14" t="str">
        <x:v>Support translation</x:v>
      </x:c>
      <x:c r="B46" s="14"/>
      <x:c r="C46" s="14"/>
      <x:c r="D46" s="14" t="str">
        <x:v>Set Locator J31:J33 to +0.10 and all other trial inputs to 0. Sensor projected motion B47 = +0.070710678 mm. Trial inputs do not change RSS.</x:v>
      </x:c>
      <x:c r="E46" s="14"/>
      <x:c r="F46" s="14"/>
      <x:c r="G46" s="14"/>
      <x:c r="H46" s="14"/>
      <x:c r="I46" s="14"/>
      <x:c r="J46" s="14"/>
      <x:c r="K46" s="14"/>
      <x:c r="L46" s="14"/>
    </x:row>
    <x:row r="47" ht="56" customHeight="1">
      <x:c r="A47" s="14" t="str">
        <x:v>Common-source cancellation</x:v>
      </x:c>
      <x:c r="B47" s="14"/>
      <x:c r="C47" s="14"/>
      <x:c r="D47" s="14" t="str">
        <x:v>Set SRC010 manual c from 0.10 to 0.00. Its RSS variance disappears. Its lower / upper effects also disappear. Restore 0.10 afterward.</x:v>
      </x:c>
      <x:c r="E47" s="14"/>
      <x:c r="F47" s="14"/>
      <x:c r="G47" s="14"/>
      <x:c r="H47" s="14"/>
      <x:c r="I47" s="14"/>
      <x:c r="J47" s="14"/>
      <x:c r="K47" s="14"/>
      <x:c r="L47" s="14"/>
    </x:row>
    <x:row r="48" ht="56" customHeight="1">
      <x:c r="A48" s="14" t="str">
        <x:v>Mean shift</x:v>
      </x:c>
      <x:c r="B48" s="14"/>
      <x:c r="C48" s="14"/>
      <x:c r="D48" s="14" t="str">
        <x:v>Change SRC009 mean deviation from +0.02 to +0.05. Predicted gap mean decreases by 0.03 mm; σ remains unchanged. Restore +0.02 afterward.</x:v>
      </x:c>
      <x:c r="E48" s="14"/>
      <x:c r="F48" s="14"/>
      <x:c r="G48" s="14"/>
      <x:c r="H48" s="14"/>
      <x:c r="I48" s="14"/>
      <x:c r="J48" s="14"/>
      <x:c r="K48" s="14"/>
      <x:c r="L48" s="14"/>
    </x:row>
    <x:row r="49" ht="56" customHeight="1">
      <x:c r="A49" s="14" t="str">
        <x:v>Geometry failure</x:v>
      </x:c>
      <x:c r="B49" s="14"/>
      <x:c r="C49" s="14"/>
      <x:c r="D49" s="14" t="str">
        <x:v>Make A3 collinear with A1 and A2. Locator B22 flags invalid geometry; active Locator inputs prevent Results from showing a valid answer. Restore coordinates.</x:v>
      </x:c>
      <x:c r="E49" s="14"/>
      <x:c r="F49" s="14"/>
      <x:c r="G49" s="14"/>
      <x:c r="H49" s="14"/>
      <x:c r="I49" s="14"/>
      <x:c r="J49" s="14"/>
      <x:c r="K49" s="14"/>
      <x:c r="L49" s="14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40" customHeight="1">
      <x:c r="A52" s="6" t="str">
        <x:v>Colour key: amber = editable input; blue-grey = calculated value; pale red = an input or result needing attention. Start from the steps above, not from the final RSS number.</x:v>
      </x:c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</x:sheetData>
  <x:mergeCells>
    <x:mergeCell ref="A4:L4"/>
    <x:mergeCell ref="B6:G6"/>
    <x:mergeCell ref="H6:L6"/>
    <x:mergeCell ref="B7:G7"/>
    <x:mergeCell ref="H7:L7"/>
    <x:mergeCell ref="B8:G8"/>
    <x:mergeCell ref="H8:L8"/>
    <x:mergeCell ref="B9:G9"/>
    <x:mergeCell ref="H9:L9"/>
    <x:mergeCell ref="B10:G10"/>
    <x:mergeCell ref="H10:L10"/>
    <x:mergeCell ref="B11:G11"/>
    <x:mergeCell ref="H11:L11"/>
    <x:mergeCell ref="B12:G12"/>
    <x:mergeCell ref="H12:L12"/>
    <x:mergeCell ref="B13:G13"/>
    <x:mergeCell ref="H13:L13"/>
    <x:mergeCell ref="B14:G14"/>
    <x:mergeCell ref="H14:L14"/>
    <x:mergeCell ref="B15:G15"/>
    <x:mergeCell ref="H15:L15"/>
    <x:mergeCell ref="B16:G16"/>
    <x:mergeCell ref="H16:L16"/>
    <x:mergeCell ref="B17:G17"/>
    <x:mergeCell ref="H17:L17"/>
    <x:mergeCell ref="B18:G18"/>
    <x:mergeCell ref="H18:L18"/>
    <x:mergeCell ref="B19:G19"/>
    <x:mergeCell ref="H19:L19"/>
    <x:mergeCell ref="B20:G20"/>
    <x:mergeCell ref="H20:L20"/>
    <x:mergeCell ref="B21:G21"/>
    <x:mergeCell ref="H21:L21"/>
    <x:mergeCell ref="B22:G22"/>
    <x:mergeCell ref="H22:L22"/>
    <x:mergeCell ref="B23:G23"/>
    <x:mergeCell ref="H23:L23"/>
    <x:mergeCell ref="A26:C26"/>
    <x:mergeCell ref="D26:L26"/>
    <x:mergeCell ref="A27:C27"/>
    <x:mergeCell ref="D27:L27"/>
    <x:mergeCell ref="A28:C28"/>
    <x:mergeCell ref="D28:L28"/>
    <x:mergeCell ref="A29:C29"/>
    <x:mergeCell ref="D29:L29"/>
    <x:mergeCell ref="A30:C30"/>
    <x:mergeCell ref="D30:L30"/>
    <x:mergeCell ref="A31:C31"/>
    <x:mergeCell ref="D31:L31"/>
    <x:mergeCell ref="A32:C32"/>
    <x:mergeCell ref="D32:L32"/>
    <x:mergeCell ref="A33:C33"/>
    <x:mergeCell ref="D33:L33"/>
    <x:mergeCell ref="A34:C34"/>
    <x:mergeCell ref="D34:L34"/>
    <x:mergeCell ref="A35:C35"/>
    <x:mergeCell ref="D35:L35"/>
    <x:mergeCell ref="A36:C36"/>
    <x:mergeCell ref="D36:L36"/>
    <x:mergeCell ref="A37:C37"/>
    <x:mergeCell ref="D37:L37"/>
    <x:mergeCell ref="A38:C38"/>
    <x:mergeCell ref="D38:L38"/>
    <x:mergeCell ref="A39:C39"/>
    <x:mergeCell ref="D39:L39"/>
    <x:mergeCell ref="A40:C40"/>
    <x:mergeCell ref="D40:L40"/>
    <x:mergeCell ref="A43:C43"/>
    <x:mergeCell ref="D43:L43"/>
    <x:mergeCell ref="A44:C44"/>
    <x:mergeCell ref="D44:L44"/>
    <x:mergeCell ref="A45:C45"/>
    <x:mergeCell ref="D45:L45"/>
    <x:mergeCell ref="A46:C46"/>
    <x:mergeCell ref="D46:L46"/>
    <x:mergeCell ref="A47:C47"/>
    <x:mergeCell ref="D47:L47"/>
    <x:mergeCell ref="A48:C48"/>
    <x:mergeCell ref="D48:L48"/>
    <x:mergeCell ref="A49:C49"/>
    <x:mergeCell ref="D49:L49"/>
    <x:mergeCell ref="A52:L52"/>
  </x:mergeCells>
  <x:pageMargins left="0.7" right="0.7" top="0.75" bottom="0.75" header="0.3" footer="0.3"/>
</x:worksheet>
</file>